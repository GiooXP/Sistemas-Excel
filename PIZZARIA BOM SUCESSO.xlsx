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iova\Desktop\Fatec - Mauá\Excel\Avançado\"/>
    </mc:Choice>
  </mc:AlternateContent>
  <xr:revisionPtr revIDLastSave="0" documentId="13_ncr:1_{EAD6F693-E8AC-481E-AE71-28134FD7B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DOS" sheetId="1" r:id="rId1"/>
    <sheet name="CONTROLE_ESTOQUE" sheetId="2" r:id="rId2"/>
    <sheet name="VALOR(RECEITA)" sheetId="3" r:id="rId3"/>
    <sheet name="PIZZAS" sheetId="9" r:id="rId4"/>
    <sheet name="CONTROLE_VENDAS" sheetId="8" r:id="rId5"/>
  </sheets>
  <definedNames>
    <definedName name="_xlnm._FilterDatabase" localSheetId="1" hidden="1">CONTROLE_ESTOQUE!$A$3:$H$19</definedName>
    <definedName name="_xlnm._FilterDatabase" localSheetId="0" hidden="1">PEDIDOS!$A$2:$H$278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4" i="2"/>
  <c r="F280" i="1"/>
  <c r="F27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I4" i="8"/>
  <c r="I5" i="8"/>
  <c r="I6" i="8"/>
  <c r="I3" i="8"/>
  <c r="C26" i="3"/>
  <c r="C27" i="3"/>
  <c r="C28" i="3"/>
  <c r="C25" i="3"/>
  <c r="K15" i="3"/>
  <c r="K4" i="3"/>
  <c r="G4" i="3"/>
  <c r="C4" i="3"/>
  <c r="C15" i="3"/>
  <c r="G15" i="3"/>
  <c r="K16" i="3"/>
  <c r="K17" i="3"/>
  <c r="K14" i="3"/>
  <c r="G16" i="3"/>
  <c r="G17" i="3"/>
  <c r="G14" i="3"/>
  <c r="C16" i="3"/>
  <c r="C17" i="3"/>
  <c r="C18" i="3"/>
  <c r="C19" i="3"/>
  <c r="C14" i="3"/>
  <c r="K5" i="3"/>
  <c r="K6" i="3"/>
  <c r="K7" i="3"/>
  <c r="K8" i="3"/>
  <c r="K3" i="3"/>
  <c r="G5" i="3"/>
  <c r="G6" i="3"/>
  <c r="G7" i="3"/>
  <c r="G8" i="3"/>
  <c r="G9" i="3"/>
  <c r="G3" i="3"/>
  <c r="C5" i="3"/>
  <c r="C6" i="3"/>
  <c r="C7" i="3"/>
  <c r="C8" i="3"/>
  <c r="C3" i="3"/>
  <c r="C9" i="3"/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19" i="1"/>
  <c r="F20" i="1"/>
  <c r="F21" i="1"/>
  <c r="F22" i="1"/>
  <c r="F23" i="1"/>
  <c r="F24" i="1"/>
  <c r="F25" i="1"/>
  <c r="F26" i="1"/>
  <c r="F27" i="1"/>
  <c r="F28" i="1"/>
  <c r="F29" i="1"/>
  <c r="D12" i="8" l="1"/>
  <c r="G21" i="3" l="1"/>
  <c r="C7" i="8" s="1"/>
  <c r="D7" i="8" s="1"/>
  <c r="D280" i="1" s="1"/>
  <c r="K21" i="3"/>
  <c r="C8" i="8" s="1"/>
  <c r="D8" i="8" s="1"/>
  <c r="C32" i="3"/>
  <c r="C9" i="8" s="1"/>
  <c r="D9" i="8" s="1"/>
  <c r="D8" i="1" l="1"/>
  <c r="H8" i="1" s="1"/>
  <c r="D17" i="1"/>
  <c r="H17" i="1" s="1"/>
  <c r="D11" i="1"/>
  <c r="H11" i="1" s="1"/>
  <c r="C21" i="3" l="1"/>
  <c r="C6" i="8" s="1"/>
  <c r="D6" i="8" s="1"/>
  <c r="K10" i="3"/>
  <c r="C5" i="8" s="1"/>
  <c r="D5" i="8" s="1"/>
  <c r="D279" i="1" s="1"/>
  <c r="H279" i="1" s="1"/>
  <c r="H6" i="2"/>
  <c r="H7" i="2"/>
  <c r="H8" i="2"/>
  <c r="H9" i="2"/>
  <c r="H10" i="2"/>
  <c r="H11" i="2"/>
  <c r="H12" i="2"/>
  <c r="H13" i="2"/>
  <c r="H21" i="2"/>
  <c r="H22" i="2"/>
  <c r="H23" i="2"/>
  <c r="H14" i="2"/>
  <c r="H15" i="2"/>
  <c r="H16" i="2"/>
  <c r="H17" i="2"/>
  <c r="H18" i="2"/>
  <c r="H19" i="2"/>
  <c r="D9" i="1" l="1"/>
  <c r="H9" i="1" s="1"/>
  <c r="D12" i="1"/>
  <c r="H12" i="1" s="1"/>
  <c r="D15" i="1"/>
  <c r="H15" i="1" s="1"/>
  <c r="D4" i="1"/>
  <c r="D7" i="1"/>
  <c r="H7" i="1" s="1"/>
  <c r="D13" i="1"/>
  <c r="H13" i="1" s="1"/>
  <c r="D6" i="1"/>
  <c r="H6" i="1" s="1"/>
  <c r="G10" i="3"/>
  <c r="C4" i="8" s="1"/>
  <c r="D4" i="8" s="1"/>
  <c r="C10" i="3"/>
  <c r="C3" i="8" s="1"/>
  <c r="D10" i="1" l="1"/>
  <c r="H10" i="1" s="1"/>
  <c r="D14" i="1"/>
  <c r="H14" i="1" s="1"/>
  <c r="D16" i="1"/>
  <c r="H16" i="1" s="1"/>
  <c r="D5" i="1"/>
  <c r="H5" i="1" s="1"/>
  <c r="D3" i="8"/>
  <c r="D281" i="1" s="1"/>
  <c r="H4" i="1"/>
  <c r="D18" i="1" l="1"/>
  <c r="H18" i="1" s="1"/>
  <c r="D3" i="1"/>
  <c r="H5" i="2" l="1"/>
  <c r="H4" i="2" l="1"/>
  <c r="H3" i="1"/>
  <c r="E3" i="8"/>
  <c r="F3" i="8" s="1"/>
  <c r="J4" i="8" l="1"/>
  <c r="D21" i="2" s="1"/>
  <c r="E21" i="2" s="1"/>
  <c r="J3" i="8"/>
  <c r="E9" i="8"/>
  <c r="F9" i="8" s="1"/>
  <c r="E5" i="8"/>
  <c r="F5" i="8" s="1"/>
  <c r="E8" i="8"/>
  <c r="F8" i="8" s="1"/>
  <c r="J6" i="8"/>
  <c r="D23" i="2" s="1"/>
  <c r="E23" i="2" s="1"/>
  <c r="J5" i="8"/>
  <c r="D22" i="2" s="1"/>
  <c r="E22" i="2" s="1"/>
  <c r="E6" i="8"/>
  <c r="F6" i="8" s="1"/>
  <c r="E7" i="8"/>
  <c r="F7" i="8" s="1"/>
  <c r="E4" i="8"/>
  <c r="C20" i="2" l="1"/>
  <c r="D20" i="2"/>
  <c r="K5" i="8"/>
  <c r="G22" i="2"/>
  <c r="K6" i="8"/>
  <c r="G23" i="2"/>
  <c r="K4" i="8"/>
  <c r="G21" i="2"/>
  <c r="K3" i="8"/>
  <c r="D6" i="2"/>
  <c r="E6" i="2" s="1"/>
  <c r="G6" i="2" s="1"/>
  <c r="J8" i="8"/>
  <c r="D19" i="2"/>
  <c r="E19" i="2" s="1"/>
  <c r="G19" i="2" s="1"/>
  <c r="D17" i="2"/>
  <c r="E17" i="2" s="1"/>
  <c r="G17" i="2" s="1"/>
  <c r="D18" i="2"/>
  <c r="E18" i="2" s="1"/>
  <c r="G18" i="2" s="1"/>
  <c r="D15" i="2"/>
  <c r="E15" i="2" s="1"/>
  <c r="G15" i="2" s="1"/>
  <c r="F4" i="8"/>
  <c r="F11" i="8" s="1"/>
  <c r="D8" i="2"/>
  <c r="E8" i="2" s="1"/>
  <c r="G8" i="2" s="1"/>
  <c r="D13" i="2"/>
  <c r="E13" i="2" s="1"/>
  <c r="G13" i="2" s="1"/>
  <c r="D12" i="2"/>
  <c r="E12" i="2" s="1"/>
  <c r="G12" i="2" s="1"/>
  <c r="D10" i="2"/>
  <c r="E10" i="2" s="1"/>
  <c r="G10" i="2" s="1"/>
  <c r="D5" i="2"/>
  <c r="E5" i="2" s="1"/>
  <c r="G5" i="2" s="1"/>
  <c r="E11" i="8"/>
  <c r="D14" i="2"/>
  <c r="E14" i="2" s="1"/>
  <c r="G14" i="2" s="1"/>
  <c r="D11" i="2"/>
  <c r="E11" i="2" s="1"/>
  <c r="G11" i="2" s="1"/>
  <c r="D9" i="2"/>
  <c r="E9" i="2" s="1"/>
  <c r="G9" i="2" s="1"/>
  <c r="D7" i="2"/>
  <c r="E7" i="2" s="1"/>
  <c r="G7" i="2" s="1"/>
  <c r="D4" i="2"/>
  <c r="E4" i="2" s="1"/>
  <c r="G4" i="2" s="1"/>
  <c r="D16" i="2"/>
  <c r="E16" i="2" s="1"/>
  <c r="G16" i="2" s="1"/>
  <c r="H20" i="2" l="1"/>
  <c r="E20" i="2"/>
  <c r="G20" i="2" s="1"/>
  <c r="K8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<sst xmlns="http://schemas.openxmlformats.org/spreadsheetml/2006/main" count="257" uniqueCount="83">
  <si>
    <t>PREÇOS</t>
  </si>
  <si>
    <t>QUANTIDADE</t>
  </si>
  <si>
    <t>MUÇARELA</t>
  </si>
  <si>
    <t>CALABRESA</t>
  </si>
  <si>
    <t>FARINHA</t>
  </si>
  <si>
    <t>OVOS</t>
  </si>
  <si>
    <t>TOMATE</t>
  </si>
  <si>
    <t>CEBOLA</t>
  </si>
  <si>
    <t>PIZZARIA - BOM SUCESSO</t>
  </si>
  <si>
    <t>CONTROLE DE ESTOQUE</t>
  </si>
  <si>
    <t>MILHO</t>
  </si>
  <si>
    <t>AZEITONA</t>
  </si>
  <si>
    <t>IGREDIENTES</t>
  </si>
  <si>
    <t>COCA-COLA</t>
  </si>
  <si>
    <t>FANTA LARANJA</t>
  </si>
  <si>
    <t>FANTA UVA</t>
  </si>
  <si>
    <t>GUARANA</t>
  </si>
  <si>
    <t>KG</t>
  </si>
  <si>
    <t>LITRO</t>
  </si>
  <si>
    <t>TOTAL</t>
  </si>
  <si>
    <t>CAIXA (20 UNIDADES)</t>
  </si>
  <si>
    <t>CATUPIRY</t>
  </si>
  <si>
    <t>CONFETES</t>
  </si>
  <si>
    <t>CREME DE CHOCOLATE</t>
  </si>
  <si>
    <t>GRANULADO</t>
  </si>
  <si>
    <t>MORANGO</t>
  </si>
  <si>
    <t>CREME DE NINHO</t>
  </si>
  <si>
    <t>VALOR</t>
  </si>
  <si>
    <t>MOLHO DE TOMATE</t>
  </si>
  <si>
    <t>PREÇO</t>
  </si>
  <si>
    <t>FRANGO DESFIADO</t>
  </si>
  <si>
    <t>INSUMOS</t>
  </si>
  <si>
    <t>DATA</t>
  </si>
  <si>
    <t>CHOCOLATE COM GRANULADO</t>
  </si>
  <si>
    <t>FRANGO CATUPIRY</t>
  </si>
  <si>
    <t>CALAMUÇA</t>
  </si>
  <si>
    <t>CHOCOLATE COM CONFETE</t>
  </si>
  <si>
    <t>NINHO COM MORANGO</t>
  </si>
  <si>
    <t>PIZZA</t>
  </si>
  <si>
    <t>MENU - PIZZAS</t>
  </si>
  <si>
    <t>NOME</t>
  </si>
  <si>
    <t>PIZZA DE MUÇARELA</t>
  </si>
  <si>
    <t>PIZZA DE FRANGO CATUPIRY</t>
  </si>
  <si>
    <t>PIZZA DE CALABRESA</t>
  </si>
  <si>
    <t>PIZZA DE CALAMUÇA</t>
  </si>
  <si>
    <t>PIZZA DE CHOC CONFETE</t>
  </si>
  <si>
    <t>PIZZA DE CHOC COM GRANULADO</t>
  </si>
  <si>
    <t>PIZZA DE NINHO COM MORANGO</t>
  </si>
  <si>
    <t>CODIGO</t>
  </si>
  <si>
    <t>PACOTE</t>
  </si>
  <si>
    <t>PREÇO - VENDA</t>
  </si>
  <si>
    <t>LUCRO 100% (VENDA)</t>
  </si>
  <si>
    <t>Á VENCER</t>
  </si>
  <si>
    <t>30 kg</t>
  </si>
  <si>
    <t>18 kg</t>
  </si>
  <si>
    <t>2 Kg</t>
  </si>
  <si>
    <t>5 cx</t>
  </si>
  <si>
    <t>STATUS (VALIDADE)</t>
  </si>
  <si>
    <t>KG/CAIXA/ML</t>
  </si>
  <si>
    <t>STATUS (REPOSIÇÃO)</t>
  </si>
  <si>
    <t>PEDIDO</t>
  </si>
  <si>
    <t>NENHUM</t>
  </si>
  <si>
    <t>REFRIGERANTE (OPCIONAL)</t>
  </si>
  <si>
    <t>PIZZARIA BOM SUCESSO - PEDIDOS</t>
  </si>
  <si>
    <t>SAÍDAS</t>
  </si>
  <si>
    <t>TOTAL:</t>
  </si>
  <si>
    <t>DESCONTO</t>
  </si>
  <si>
    <t>Estoque (Ref)</t>
  </si>
  <si>
    <t>Ingredientes</t>
  </si>
  <si>
    <t>SAIDAS</t>
  </si>
  <si>
    <t>REFRIGERANTES</t>
  </si>
  <si>
    <t>PIZZA MUÇARELA</t>
  </si>
  <si>
    <t>PIZZA FRANGO CATUPIRY</t>
  </si>
  <si>
    <t>PIZZA CHOC. COM CONFETE</t>
  </si>
  <si>
    <t>PIZZA DE CHOC. COM GRANULADO</t>
  </si>
  <si>
    <t xml:space="preserve">CAIXA </t>
  </si>
  <si>
    <t xml:space="preserve">PACOTE </t>
  </si>
  <si>
    <t>PIZZA CALABRESA</t>
  </si>
  <si>
    <t>PIZZA CALAMUÇA</t>
  </si>
  <si>
    <t>QUANTIDADE ESTOQUE</t>
  </si>
  <si>
    <t>SAIDA ESTOQUE</t>
  </si>
  <si>
    <t>UNIDADE</t>
  </si>
  <si>
    <t>MARGEM DE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</si>
</sst>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[$R$-416]\ * #,##0.00_-;\-[$R$-416]\ * #,##0.00_-;_-[$R$-416]\ * &quot;-&quot;??_-;_-@_-"/>
    <numFmt numFmtId="165" formatCode="0\ &quot;kg&quot;"/>
    <numFmt numFmtId="166" formatCode="0\ &quot;Kg&quot;"/>
    <numFmt numFmtId="167" formatCode="0\ &quot;L&quot;"/>
    <numFmt numFmtId="168" formatCode="0\ &quot;cx&quot;"/>
    <numFmt numFmtId="169" formatCode="0\ &quot;unid&quot;"/>
    <numFmt numFmtId="170" formatCode="0\ &quot;g&quot;"/>
    <numFmt numFmtId="171" formatCode="&quot;CÓDIGO&quot;\ 0"/>
    <numFmt numFmtId="172" formatCode="0\ &quot;ml&quot;"/>
    <numFmt numFmtId="173" formatCode="dd/mm/yy;@"/>
    <numFmt numFmtId="174" formatCode="0.00\ &quot;G&quot;"/>
    <numFmt numFmtId="175" formatCode="0.000"/>
    <numFmt numFmtId="176" formatCode="0.000&quot;g&quot;"/>
    <numFmt numFmtId="177" formatCode="0&quot;unid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28"/>
      <color theme="0" tint="-4.9989318521683403E-2"/>
      <name val="Bernard MT Condensed"/>
      <family val="1"/>
    </font>
    <font>
      <b/>
      <sz val="11"/>
      <color theme="0"/>
      <name val="Calibri"/>
      <family val="2"/>
      <scheme val="minor"/>
    </font>
    <font>
      <b/>
      <sz val="14"/>
      <color theme="0" tint="-4.9989318521683403E-2"/>
      <name val="Aptos Serif"/>
      <family val="1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6A8AD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6A8AD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4" borderId="1" xfId="0" applyNumberFormat="1" applyFon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12" fillId="8" borderId="1" xfId="0" applyNumberFormat="1" applyFont="1" applyFill="1" applyBorder="1" applyAlignment="1">
      <alignment horizontal="center" vertical="center"/>
    </xf>
    <xf numFmtId="166" fontId="12" fillId="8" borderId="1" xfId="0" applyNumberFormat="1" applyFont="1" applyFill="1" applyBorder="1" applyAlignment="1">
      <alignment horizontal="center" vertical="center"/>
    </xf>
    <xf numFmtId="168" fontId="12" fillId="8" borderId="1" xfId="0" applyNumberFormat="1" applyFont="1" applyFill="1" applyBorder="1" applyAlignment="1">
      <alignment horizontal="center" vertical="center"/>
    </xf>
    <xf numFmtId="167" fontId="12" fillId="8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170" fontId="0" fillId="0" borderId="1" xfId="0" applyNumberFormat="1" applyBorder="1"/>
    <xf numFmtId="0" fontId="0" fillId="0" borderId="1" xfId="0" applyBorder="1"/>
    <xf numFmtId="171" fontId="2" fillId="2" borderId="2" xfId="0" applyNumberFormat="1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/>
    </xf>
    <xf numFmtId="0" fontId="14" fillId="0" borderId="0" xfId="0" applyFont="1"/>
    <xf numFmtId="0" fontId="1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73" fontId="5" fillId="5" borderId="1" xfId="0" applyNumberFormat="1" applyFont="1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0" fontId="10" fillId="0" borderId="0" xfId="0" applyFont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vertical="center"/>
    </xf>
    <xf numFmtId="164" fontId="9" fillId="11" borderId="1" xfId="0" applyNumberFormat="1" applyFont="1" applyFill="1" applyBorder="1" applyAlignment="1">
      <alignment vertical="center"/>
    </xf>
    <xf numFmtId="0" fontId="1" fillId="13" borderId="1" xfId="0" applyFont="1" applyFill="1" applyBorder="1"/>
    <xf numFmtId="164" fontId="1" fillId="14" borderId="1" xfId="0" applyNumberFormat="1" applyFont="1" applyFill="1" applyBorder="1"/>
    <xf numFmtId="9" fontId="1" fillId="0" borderId="6" xfId="0" applyNumberFormat="1" applyFont="1" applyBorder="1"/>
    <xf numFmtId="9" fontId="1" fillId="0" borderId="8" xfId="0" applyNumberFormat="1" applyFont="1" applyBorder="1"/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74" fontId="0" fillId="8" borderId="1" xfId="0" applyNumberFormat="1" applyFill="1" applyBorder="1" applyAlignment="1">
      <alignment horizontal="center" vertical="center"/>
    </xf>
    <xf numFmtId="174" fontId="15" fillId="8" borderId="1" xfId="0" applyNumberFormat="1" applyFont="1" applyFill="1" applyBorder="1" applyAlignment="1">
      <alignment horizontal="center" vertical="center" wrapText="1"/>
    </xf>
    <xf numFmtId="2" fontId="17" fillId="8" borderId="1" xfId="0" applyNumberFormat="1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15" fillId="11" borderId="1" xfId="0" applyNumberFormat="1" applyFont="1" applyFill="1" applyBorder="1" applyAlignment="1">
      <alignment horizontal="center" vertical="center" wrapText="1"/>
    </xf>
    <xf numFmtId="177" fontId="15" fillId="11" borderId="1" xfId="0" applyNumberFormat="1" applyFont="1" applyFill="1" applyBorder="1" applyAlignment="1">
      <alignment horizontal="center" vertical="center" wrapText="1"/>
    </xf>
    <xf numFmtId="175" fontId="12" fillId="8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14" fillId="11" borderId="0" xfId="0" applyFont="1" applyFill="1"/>
    <xf numFmtId="0" fontId="14" fillId="11" borderId="0" xfId="0" applyFont="1" applyFill="1" applyAlignment="1">
      <alignment horizontal="center" vertical="center"/>
    </xf>
    <xf numFmtId="0" fontId="18" fillId="1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6A8AD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15240</xdr:colOff>
      <xdr:row>1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8380" cy="12744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9" tint="-0.499984740745262"/>
  </sheetPr>
  <dimension ref="A1:L283"/>
  <sheetViews>
    <sheetView showGridLines="0" tabSelected="1" workbookViewId="0">
      <selection activeCell="G3" sqref="G3"/>
    </sheetView>
  </sheetViews>
  <sheetFormatPr defaultRowHeight="14.4" x14ac:dyDescent="0.3"/>
  <cols>
    <col min="1" max="1" width="13.6640625" style="33" customWidth="1"/>
    <col min="2" max="2" width="19.33203125" style="1" customWidth="1"/>
    <col min="3" max="3" width="29.6640625" style="1" customWidth="1"/>
    <col min="4" max="4" width="22.6640625" style="35" customWidth="1"/>
    <col min="5" max="5" width="23.88671875" style="1" customWidth="1"/>
    <col min="6" max="7" width="22.88671875" style="1" customWidth="1"/>
    <col min="8" max="8" width="16.6640625" style="36" customWidth="1"/>
    <col min="9" max="12" width="16.6640625" customWidth="1"/>
  </cols>
  <sheetData>
    <row r="1" spans="1:12" ht="99.75" customHeight="1" x14ac:dyDescent="0.3">
      <c r="C1" s="72" t="s">
        <v>63</v>
      </c>
      <c r="D1" s="73"/>
      <c r="E1" s="73"/>
      <c r="F1" s="73"/>
      <c r="G1" s="73"/>
      <c r="H1" s="74"/>
      <c r="I1" s="34"/>
      <c r="J1" s="34"/>
      <c r="K1" s="34"/>
      <c r="L1" s="34"/>
    </row>
    <row r="2" spans="1:12" ht="36" customHeight="1" x14ac:dyDescent="0.3">
      <c r="A2" s="32" t="s">
        <v>32</v>
      </c>
      <c r="B2" s="28" t="s">
        <v>60</v>
      </c>
      <c r="C2" s="28" t="s">
        <v>39</v>
      </c>
      <c r="D2" s="28" t="s">
        <v>50</v>
      </c>
      <c r="E2" s="29" t="s">
        <v>62</v>
      </c>
      <c r="F2" s="28" t="s">
        <v>50</v>
      </c>
      <c r="G2" s="28" t="s">
        <v>66</v>
      </c>
      <c r="H2" s="28" t="s">
        <v>19</v>
      </c>
      <c r="I2" s="34"/>
      <c r="J2" s="34"/>
      <c r="K2" s="34"/>
      <c r="L2" s="34"/>
    </row>
    <row r="3" spans="1:12" x14ac:dyDescent="0.3">
      <c r="A3" s="33">
        <v>46132</v>
      </c>
      <c r="B3" s="1">
        <v>1352</v>
      </c>
      <c r="C3" s="1" t="s">
        <v>41</v>
      </c>
      <c r="D3" s="30">
        <f>VLOOKUP(C3,CONTROLE_VENDAS!$A$3:$D$9,4,0)</f>
        <v>54.696000000000005</v>
      </c>
      <c r="E3" s="1" t="s">
        <v>14</v>
      </c>
      <c r="F3" s="1">
        <f>_xlfn.XLOOKUP(E3,CONTROLE_ESTOQUE!$A$4:$A$23,CONTROLE_ESTOQUE!$F$4:$F$23,0)</f>
        <v>7.96</v>
      </c>
      <c r="H3" s="31">
        <f>D3+F3</f>
        <v>62.656000000000006</v>
      </c>
      <c r="I3" s="34"/>
      <c r="J3" s="34"/>
      <c r="K3" s="34"/>
      <c r="L3" s="34"/>
    </row>
    <row r="4" spans="1:12" x14ac:dyDescent="0.3">
      <c r="A4" s="33">
        <v>46132</v>
      </c>
      <c r="B4" s="1">
        <v>1353</v>
      </c>
      <c r="C4" s="1" t="s">
        <v>43</v>
      </c>
      <c r="D4" s="30">
        <f>VLOOKUP(C4,CONTROLE_VENDAS!$A$3:$D$9,4,0)</f>
        <v>37.159680000000002</v>
      </c>
      <c r="E4" s="1" t="s">
        <v>15</v>
      </c>
      <c r="F4" s="1">
        <f>_xlfn.XLOOKUP(E4,CONTROLE_ESTOQUE!$A$4:$A$23,CONTROLE_ESTOQUE!$F$4:$F$23,0)</f>
        <v>7.96</v>
      </c>
      <c r="H4" s="31">
        <f>D4+F4</f>
        <v>45.119680000000002</v>
      </c>
      <c r="I4" s="34"/>
      <c r="J4" s="20" t="s">
        <v>41</v>
      </c>
      <c r="K4" s="20"/>
      <c r="L4" s="65"/>
    </row>
    <row r="5" spans="1:12" x14ac:dyDescent="0.3">
      <c r="A5" s="33">
        <v>46132</v>
      </c>
      <c r="B5" s="1">
        <v>1354</v>
      </c>
      <c r="C5" s="1" t="s">
        <v>42</v>
      </c>
      <c r="D5" s="30">
        <f>VLOOKUP(C5,CONTROLE_VENDAS!$A$3:$D$9,4,0)</f>
        <v>39.959999999999994</v>
      </c>
      <c r="E5" s="1" t="s">
        <v>13</v>
      </c>
      <c r="F5" s="1">
        <f>_xlfn.XLOOKUP(E5,CONTROLE_ESTOQUE!$A$4:$A$23,CONTROLE_ESTOQUE!$F$4:$F$23,0)</f>
        <v>8.9600000000000009</v>
      </c>
      <c r="H5" s="31">
        <f t="shared" ref="H5:H18" si="0">D5+F5</f>
        <v>48.919999999999995</v>
      </c>
      <c r="I5" s="34"/>
      <c r="J5" s="20" t="s">
        <v>42</v>
      </c>
      <c r="K5" s="20"/>
      <c r="L5" s="66" t="s">
        <v>13</v>
      </c>
    </row>
    <row r="6" spans="1:12" x14ac:dyDescent="0.3">
      <c r="A6" s="33">
        <v>46132</v>
      </c>
      <c r="B6" s="1">
        <v>1355</v>
      </c>
      <c r="C6" s="1" t="s">
        <v>44</v>
      </c>
      <c r="D6" s="30">
        <f>VLOOKUP(C6,CONTROLE_VENDAS!$A$3:$D$9,4,0)</f>
        <v>64.555200000000013</v>
      </c>
      <c r="E6" s="1" t="s">
        <v>16</v>
      </c>
      <c r="F6" s="1">
        <f>_xlfn.XLOOKUP(E6,CONTROLE_ESTOQUE!$A$4:$A$23,CONTROLE_ESTOQUE!$F$4:$F$23,0)</f>
        <v>8.9600000000000009</v>
      </c>
      <c r="H6" s="31">
        <f t="shared" si="0"/>
        <v>73.515200000000021</v>
      </c>
      <c r="I6" s="34"/>
      <c r="J6" s="20" t="s">
        <v>43</v>
      </c>
      <c r="K6" s="20"/>
      <c r="L6" s="66" t="s">
        <v>14</v>
      </c>
    </row>
    <row r="7" spans="1:12" x14ac:dyDescent="0.3">
      <c r="A7" s="33">
        <v>46132</v>
      </c>
      <c r="B7" s="1">
        <v>1356</v>
      </c>
      <c r="C7" s="1" t="s">
        <v>44</v>
      </c>
      <c r="D7" s="30">
        <f>VLOOKUP(C7,CONTROLE_VENDAS!$A$3:$D$9,4,0)</f>
        <v>64.555200000000013</v>
      </c>
      <c r="E7" s="1" t="s">
        <v>61</v>
      </c>
      <c r="F7" s="1">
        <f>_xlfn.XLOOKUP(E7,CONTROLE_ESTOQUE!$A$4:$A$23,CONTROLE_ESTOQUE!$F$4:$F$23,0)</f>
        <v>0</v>
      </c>
      <c r="H7" s="31">
        <f t="shared" si="0"/>
        <v>64.555200000000013</v>
      </c>
      <c r="I7" s="34"/>
      <c r="J7" s="20" t="s">
        <v>44</v>
      </c>
      <c r="K7" s="20"/>
      <c r="L7" s="66" t="s">
        <v>15</v>
      </c>
    </row>
    <row r="8" spans="1:12" x14ac:dyDescent="0.3">
      <c r="A8" s="33">
        <v>46132</v>
      </c>
      <c r="B8" s="1">
        <v>1357</v>
      </c>
      <c r="C8" s="1" t="s">
        <v>45</v>
      </c>
      <c r="D8" s="30">
        <f>VLOOKUP(C8,CONTROLE_VENDAS!$A$3:$D$9,4,0)</f>
        <v>18.195839999999997</v>
      </c>
      <c r="E8" s="1" t="s">
        <v>61</v>
      </c>
      <c r="F8" s="1">
        <f>_xlfn.XLOOKUP(E8,CONTROLE_ESTOQUE!$A$4:$A$23,CONTROLE_ESTOQUE!$F$4:$F$23,0)</f>
        <v>0</v>
      </c>
      <c r="H8" s="31">
        <f>SUM(D8,F8)</f>
        <v>18.195839999999997</v>
      </c>
      <c r="I8" s="34"/>
      <c r="J8" s="20" t="s">
        <v>45</v>
      </c>
      <c r="K8" s="20"/>
      <c r="L8" s="66" t="s">
        <v>16</v>
      </c>
    </row>
    <row r="9" spans="1:12" x14ac:dyDescent="0.3">
      <c r="A9" s="33">
        <v>46132</v>
      </c>
      <c r="B9" s="1">
        <v>1358</v>
      </c>
      <c r="C9" s="1" t="s">
        <v>43</v>
      </c>
      <c r="D9" s="30">
        <f>VLOOKUP(C9,CONTROLE_VENDAS!$A$3:$D$9,4,0)</f>
        <v>37.159680000000002</v>
      </c>
      <c r="E9" s="1" t="s">
        <v>16</v>
      </c>
      <c r="F9" s="1">
        <f>_xlfn.XLOOKUP(E9,CONTROLE_ESTOQUE!$A$4:$A$23,CONTROLE_ESTOQUE!$F$4:$F$23,0)</f>
        <v>8.9600000000000009</v>
      </c>
      <c r="H9" s="31">
        <f>D9+F9</f>
        <v>46.119680000000002</v>
      </c>
      <c r="I9" s="34"/>
      <c r="J9" s="20" t="s">
        <v>46</v>
      </c>
      <c r="K9" s="20"/>
      <c r="L9" s="66" t="s">
        <v>61</v>
      </c>
    </row>
    <row r="10" spans="1:12" x14ac:dyDescent="0.3">
      <c r="A10" s="33">
        <v>46132</v>
      </c>
      <c r="B10" s="1">
        <v>1359</v>
      </c>
      <c r="C10" s="1" t="s">
        <v>42</v>
      </c>
      <c r="D10" s="30">
        <f>VLOOKUP(C10,CONTROLE_VENDAS!$A$3:$D$9,4,0)</f>
        <v>39.959999999999994</v>
      </c>
      <c r="E10" s="1" t="s">
        <v>14</v>
      </c>
      <c r="F10" s="1">
        <f>_xlfn.XLOOKUP(E10,CONTROLE_ESTOQUE!$A$4:$A$23,CONTROLE_ESTOQUE!$F$4:$F$23,0)</f>
        <v>7.96</v>
      </c>
      <c r="H10" s="31">
        <f t="shared" si="0"/>
        <v>47.919999999999995</v>
      </c>
      <c r="I10" s="34"/>
      <c r="J10" s="20" t="s">
        <v>47</v>
      </c>
      <c r="K10" s="20"/>
      <c r="L10" s="66"/>
    </row>
    <row r="11" spans="1:12" x14ac:dyDescent="0.3">
      <c r="A11" s="33">
        <v>46132</v>
      </c>
      <c r="B11" s="1">
        <v>1360</v>
      </c>
      <c r="C11" s="1" t="s">
        <v>46</v>
      </c>
      <c r="D11" s="30">
        <f>VLOOKUP(C11,CONTROLE_VENDAS!$A$3:$D$9,4,0)</f>
        <v>18.5184</v>
      </c>
      <c r="E11" s="1" t="s">
        <v>13</v>
      </c>
      <c r="F11" s="1">
        <f>_xlfn.XLOOKUP(E11,CONTROLE_ESTOQUE!$A$4:$A$23,CONTROLE_ESTOQUE!$F$4:$F$23,0)</f>
        <v>8.9600000000000009</v>
      </c>
      <c r="H11" s="31">
        <f t="shared" si="0"/>
        <v>27.478400000000001</v>
      </c>
      <c r="I11" s="34"/>
      <c r="J11" s="20"/>
      <c r="K11" s="20"/>
      <c r="L11" s="65"/>
    </row>
    <row r="12" spans="1:12" x14ac:dyDescent="0.3">
      <c r="A12" s="33">
        <v>46132</v>
      </c>
      <c r="B12" s="1">
        <v>1361</v>
      </c>
      <c r="C12" s="1" t="s">
        <v>43</v>
      </c>
      <c r="D12" s="30">
        <f>VLOOKUP(C12,CONTROLE_VENDAS!$A$3:$D$9,4,0)</f>
        <v>37.159680000000002</v>
      </c>
      <c r="E12" s="1" t="s">
        <v>14</v>
      </c>
      <c r="F12" s="1">
        <f>_xlfn.XLOOKUP(E12,CONTROLE_ESTOQUE!$A$4:$A$23,CONTROLE_ESTOQUE!$F$4:$F$23,0)</f>
        <v>7.96</v>
      </c>
      <c r="H12" s="31">
        <f t="shared" si="0"/>
        <v>45.119680000000002</v>
      </c>
      <c r="I12" s="34"/>
      <c r="J12" s="20"/>
      <c r="K12" s="20"/>
      <c r="L12" s="20"/>
    </row>
    <row r="13" spans="1:12" x14ac:dyDescent="0.3">
      <c r="A13" s="33">
        <v>46132</v>
      </c>
      <c r="B13" s="1">
        <v>1362</v>
      </c>
      <c r="C13" s="1" t="s">
        <v>44</v>
      </c>
      <c r="D13" s="30">
        <f>VLOOKUP(C13,CONTROLE_VENDAS!$A$3:$D$9,4,0)</f>
        <v>64.555200000000013</v>
      </c>
      <c r="E13" s="1" t="s">
        <v>13</v>
      </c>
      <c r="F13" s="1">
        <f>_xlfn.XLOOKUP(E13,CONTROLE_ESTOQUE!$A$4:$A$23,CONTROLE_ESTOQUE!$F$4:$F$23,0)</f>
        <v>8.9600000000000009</v>
      </c>
      <c r="H13" s="31">
        <f t="shared" si="0"/>
        <v>73.515200000000021</v>
      </c>
      <c r="I13" s="34"/>
      <c r="J13" s="20"/>
      <c r="K13" s="20"/>
      <c r="L13" s="20"/>
    </row>
    <row r="14" spans="1:12" x14ac:dyDescent="0.3">
      <c r="A14" s="33">
        <v>46132</v>
      </c>
      <c r="B14" s="1">
        <v>1363</v>
      </c>
      <c r="C14" s="1" t="s">
        <v>42</v>
      </c>
      <c r="D14" s="30">
        <f>VLOOKUP(C14,CONTROLE_VENDAS!$A$3:$D$9,4,0)</f>
        <v>39.959999999999994</v>
      </c>
      <c r="E14" s="1" t="s">
        <v>14</v>
      </c>
      <c r="F14" s="1">
        <f>_xlfn.XLOOKUP(E14,CONTROLE_ESTOQUE!$A$4:$A$23,CONTROLE_ESTOQUE!$F$4:$F$23,0)</f>
        <v>7.96</v>
      </c>
      <c r="H14" s="31">
        <f t="shared" si="0"/>
        <v>47.919999999999995</v>
      </c>
      <c r="I14" s="34"/>
      <c r="J14" s="20"/>
      <c r="K14" s="20"/>
      <c r="L14" s="20"/>
    </row>
    <row r="15" spans="1:12" x14ac:dyDescent="0.3">
      <c r="A15" s="33">
        <v>46132</v>
      </c>
      <c r="B15" s="1">
        <v>1364</v>
      </c>
      <c r="C15" s="1" t="s">
        <v>43</v>
      </c>
      <c r="D15" s="30">
        <f>VLOOKUP(C15,CONTROLE_VENDAS!$A$3:$D$9,4,0)</f>
        <v>37.159680000000002</v>
      </c>
      <c r="E15" s="1" t="s">
        <v>61</v>
      </c>
      <c r="F15" s="1">
        <f>_xlfn.XLOOKUP(E15,CONTROLE_ESTOQUE!$A$4:$A$23,CONTROLE_ESTOQUE!$F$4:$F$23,0)</f>
        <v>0</v>
      </c>
      <c r="H15" s="31">
        <f t="shared" si="0"/>
        <v>37.159680000000002</v>
      </c>
      <c r="I15" s="34"/>
      <c r="J15" s="34"/>
      <c r="K15" s="34"/>
      <c r="L15" s="34"/>
    </row>
    <row r="16" spans="1:12" x14ac:dyDescent="0.3">
      <c r="A16" s="33">
        <v>46132</v>
      </c>
      <c r="B16" s="1">
        <v>1365</v>
      </c>
      <c r="C16" s="1" t="s">
        <v>42</v>
      </c>
      <c r="D16" s="30">
        <f>VLOOKUP(C16,CONTROLE_VENDAS!$A$3:$D$9,4,0)</f>
        <v>39.959999999999994</v>
      </c>
      <c r="E16" s="1" t="s">
        <v>15</v>
      </c>
      <c r="F16" s="1">
        <f>_xlfn.XLOOKUP(E16,CONTROLE_ESTOQUE!$A$4:$A$23,CONTROLE_ESTOQUE!$F$4:$F$23,0)</f>
        <v>7.96</v>
      </c>
      <c r="H16" s="31">
        <f t="shared" si="0"/>
        <v>47.919999999999995</v>
      </c>
      <c r="I16" s="34"/>
      <c r="J16" s="34"/>
      <c r="K16" s="34"/>
      <c r="L16" s="34"/>
    </row>
    <row r="17" spans="1:12" x14ac:dyDescent="0.3">
      <c r="A17" s="33">
        <v>46132</v>
      </c>
      <c r="B17" s="1">
        <v>1366</v>
      </c>
      <c r="C17" s="1" t="s">
        <v>47</v>
      </c>
      <c r="D17" s="30">
        <f>VLOOKUP(C17,CONTROLE_VENDAS!$A$3:$D$9,4,0)</f>
        <v>22.953600000000002</v>
      </c>
      <c r="E17" s="1" t="s">
        <v>61</v>
      </c>
      <c r="F17" s="1">
        <f>_xlfn.XLOOKUP(E17,CONTROLE_ESTOQUE!$A$4:$A$23,CONTROLE_ESTOQUE!$F$4:$F$23,0)</f>
        <v>0</v>
      </c>
      <c r="H17" s="31">
        <f t="shared" si="0"/>
        <v>22.953600000000002</v>
      </c>
      <c r="I17" s="20"/>
      <c r="J17" s="20"/>
      <c r="K17" s="20"/>
      <c r="L17" s="20"/>
    </row>
    <row r="18" spans="1:12" x14ac:dyDescent="0.3">
      <c r="A18" s="33">
        <v>46133</v>
      </c>
      <c r="B18" s="1">
        <v>1367</v>
      </c>
      <c r="C18" s="1" t="s">
        <v>41</v>
      </c>
      <c r="D18" s="30">
        <f>VLOOKUP(C18,CONTROLE_VENDAS!$A$3:$D$9,4,0)</f>
        <v>54.696000000000005</v>
      </c>
      <c r="E18" s="1" t="s">
        <v>14</v>
      </c>
      <c r="F18" s="1">
        <f>_xlfn.XLOOKUP(E18,CONTROLE_ESTOQUE!$A$4:$A$23,CONTROLE_ESTOQUE!$F$4:$F$23,0)</f>
        <v>7.96</v>
      </c>
      <c r="H18" s="31">
        <f t="shared" si="0"/>
        <v>62.656000000000006</v>
      </c>
      <c r="I18" s="20"/>
      <c r="J18" s="20"/>
      <c r="K18" s="20"/>
      <c r="L18" s="20"/>
    </row>
    <row r="19" spans="1:12" hidden="1" x14ac:dyDescent="0.3">
      <c r="D19" s="30" t="e">
        <f>VLOOKUP(C19,CONTROLE_VENDAS!$A$3:$D$9,4,0)</f>
        <v>#N/A</v>
      </c>
      <c r="F19" s="1">
        <f>_xlfn.XLOOKUP(E19, CONTROLE_ESTOQUE!$A$4:$A$19, CONTROLE_ESTOQUE!$F$4:$F$19, 0)</f>
        <v>0</v>
      </c>
    </row>
    <row r="20" spans="1:12" hidden="1" x14ac:dyDescent="0.3">
      <c r="D20" s="30" t="e">
        <f>VLOOKUP(C20,CONTROLE_VENDAS!$A$3:$D$9,4,0)</f>
        <v>#N/A</v>
      </c>
      <c r="F20" s="1">
        <f>_xlfn.XLOOKUP(E20, CONTROLE_ESTOQUE!$A$4:$A$19, CONTROLE_ESTOQUE!$F$4:$F$19, 0)</f>
        <v>0</v>
      </c>
    </row>
    <row r="21" spans="1:12" hidden="1" x14ac:dyDescent="0.3">
      <c r="D21" s="30" t="e">
        <f>VLOOKUP(C21,CONTROLE_VENDAS!$A$3:$D$9,4,0)</f>
        <v>#N/A</v>
      </c>
      <c r="F21" s="1">
        <f>_xlfn.XLOOKUP(E21, CONTROLE_ESTOQUE!$A$4:$A$19, CONTROLE_ESTOQUE!$F$4:$F$19, 0)</f>
        <v>0</v>
      </c>
    </row>
    <row r="22" spans="1:12" hidden="1" x14ac:dyDescent="0.3">
      <c r="D22" s="30" t="e">
        <f>VLOOKUP(C22,CONTROLE_VENDAS!$A$3:$D$9,4,0)</f>
        <v>#N/A</v>
      </c>
      <c r="F22" s="1">
        <f>_xlfn.XLOOKUP(E22, CONTROLE_ESTOQUE!$A$4:$A$19, CONTROLE_ESTOQUE!$F$4:$F$19, 0)</f>
        <v>0</v>
      </c>
    </row>
    <row r="23" spans="1:12" hidden="1" x14ac:dyDescent="0.3">
      <c r="D23" s="30" t="e">
        <f>VLOOKUP(C23,CONTROLE_VENDAS!$A$3:$D$9,4,0)</f>
        <v>#N/A</v>
      </c>
      <c r="F23" s="1">
        <f>_xlfn.XLOOKUP(E23, CONTROLE_ESTOQUE!$A$4:$A$19, CONTROLE_ESTOQUE!$F$4:$F$19, 0)</f>
        <v>0</v>
      </c>
    </row>
    <row r="24" spans="1:12" hidden="1" x14ac:dyDescent="0.3">
      <c r="D24" s="30" t="e">
        <f>VLOOKUP(C24,CONTROLE_VENDAS!$A$3:$D$9,4,0)</f>
        <v>#N/A</v>
      </c>
      <c r="F24" s="1">
        <f>_xlfn.XLOOKUP(E24, CONTROLE_ESTOQUE!$A$4:$A$19, CONTROLE_ESTOQUE!$F$4:$F$19, 0)</f>
        <v>0</v>
      </c>
    </row>
    <row r="25" spans="1:12" hidden="1" x14ac:dyDescent="0.3">
      <c r="D25" s="30" t="e">
        <f>VLOOKUP(C25,CONTROLE_VENDAS!$A$3:$D$9,4,0)</f>
        <v>#N/A</v>
      </c>
      <c r="F25" s="1">
        <f>_xlfn.XLOOKUP(E25, CONTROLE_ESTOQUE!$A$4:$A$19, CONTROLE_ESTOQUE!$F$4:$F$19, 0)</f>
        <v>0</v>
      </c>
    </row>
    <row r="26" spans="1:12" hidden="1" x14ac:dyDescent="0.3">
      <c r="D26" s="30" t="e">
        <f>VLOOKUP(C26,CONTROLE_VENDAS!$A$3:$D$9,4,0)</f>
        <v>#N/A</v>
      </c>
      <c r="F26" s="1">
        <f>_xlfn.XLOOKUP(E26, CONTROLE_ESTOQUE!$A$4:$A$19, CONTROLE_ESTOQUE!$F$4:$F$19, 0)</f>
        <v>0</v>
      </c>
    </row>
    <row r="27" spans="1:12" hidden="1" x14ac:dyDescent="0.3">
      <c r="D27" s="30" t="e">
        <f>VLOOKUP(C27,CONTROLE_VENDAS!$A$3:$D$9,4,0)</f>
        <v>#N/A</v>
      </c>
      <c r="F27" s="1">
        <f>_xlfn.XLOOKUP(E27, CONTROLE_ESTOQUE!$A$4:$A$19, CONTROLE_ESTOQUE!$F$4:$F$19, 0)</f>
        <v>0</v>
      </c>
    </row>
    <row r="28" spans="1:12" hidden="1" x14ac:dyDescent="0.3">
      <c r="D28" s="30" t="e">
        <f>VLOOKUP(C28,CONTROLE_VENDAS!$A$3:$D$9,4,0)</f>
        <v>#N/A</v>
      </c>
      <c r="F28" s="1">
        <f>_xlfn.XLOOKUP(E28, CONTROLE_ESTOQUE!$A$4:$A$19, CONTROLE_ESTOQUE!$F$4:$F$19, 0)</f>
        <v>0</v>
      </c>
    </row>
    <row r="29" spans="1:12" hidden="1" x14ac:dyDescent="0.3">
      <c r="D29" s="30" t="e">
        <f>VLOOKUP(C29,CONTROLE_VENDAS!$A$3:$D$9,4,0)</f>
        <v>#N/A</v>
      </c>
      <c r="F29" s="1">
        <f>_xlfn.XLOOKUP(E29, CONTROLE_ESTOQUE!$A$4:$A$19, CONTROLE_ESTOQUE!$F$4:$F$19, 0)</f>
        <v>0</v>
      </c>
    </row>
    <row r="30" spans="1:12" hidden="1" x14ac:dyDescent="0.3">
      <c r="D30" s="30" t="e">
        <f>VLOOKUP(C30,CONTROLE_VENDAS!$A$3:$D$9,4,0)</f>
        <v>#N/A</v>
      </c>
      <c r="F30" s="1">
        <f>_xlfn.XLOOKUP(E30, CONTROLE_ESTOQUE!$A$4:$A$19, CONTROLE_ESTOQUE!$F$4:$F$19, 0)</f>
        <v>0</v>
      </c>
    </row>
    <row r="31" spans="1:12" hidden="1" x14ac:dyDescent="0.3">
      <c r="D31" s="30" t="e">
        <f>VLOOKUP(C31,CONTROLE_VENDAS!$A$3:$D$9,4,0)</f>
        <v>#N/A</v>
      </c>
      <c r="F31" s="1">
        <f>_xlfn.XLOOKUP(E31, CONTROLE_ESTOQUE!$A$4:$A$19, CONTROLE_ESTOQUE!$F$4:$F$19, 0)</f>
        <v>0</v>
      </c>
    </row>
    <row r="32" spans="1:12" hidden="1" x14ac:dyDescent="0.3">
      <c r="D32" s="30" t="e">
        <f>VLOOKUP(C32,CONTROLE_VENDAS!$A$3:$D$9,4,0)</f>
        <v>#N/A</v>
      </c>
      <c r="F32" s="1">
        <f>_xlfn.XLOOKUP(E32, CONTROLE_ESTOQUE!$A$4:$A$19, CONTROLE_ESTOQUE!$F$4:$F$19, 0)</f>
        <v>0</v>
      </c>
    </row>
    <row r="33" spans="4:6" hidden="1" x14ac:dyDescent="0.3">
      <c r="D33" s="30" t="e">
        <f>VLOOKUP(C33,CONTROLE_VENDAS!$A$3:$D$9,4,0)</f>
        <v>#N/A</v>
      </c>
      <c r="F33" s="1">
        <f>_xlfn.XLOOKUP(E33, CONTROLE_ESTOQUE!$A$4:$A$19, CONTROLE_ESTOQUE!$F$4:$F$19, 0)</f>
        <v>0</v>
      </c>
    </row>
    <row r="34" spans="4:6" hidden="1" x14ac:dyDescent="0.3">
      <c r="D34" s="30" t="e">
        <f>VLOOKUP(C34,CONTROLE_VENDAS!$A$3:$D$9,4,0)</f>
        <v>#N/A</v>
      </c>
      <c r="F34" s="1">
        <f>_xlfn.XLOOKUP(E34, CONTROLE_ESTOQUE!$A$4:$A$19, CONTROLE_ESTOQUE!$F$4:$F$19, 0)</f>
        <v>0</v>
      </c>
    </row>
    <row r="35" spans="4:6" hidden="1" x14ac:dyDescent="0.3">
      <c r="D35" s="30" t="e">
        <f>VLOOKUP(C35,CONTROLE_VENDAS!$A$3:$D$9,4,0)</f>
        <v>#N/A</v>
      </c>
      <c r="F35" s="1">
        <f>_xlfn.XLOOKUP(E35, CONTROLE_ESTOQUE!$A$4:$A$19, CONTROLE_ESTOQUE!$F$4:$F$19, 0)</f>
        <v>0</v>
      </c>
    </row>
    <row r="36" spans="4:6" hidden="1" x14ac:dyDescent="0.3">
      <c r="D36" s="30" t="e">
        <f>VLOOKUP(C36,CONTROLE_VENDAS!$A$3:$D$9,4,0)</f>
        <v>#N/A</v>
      </c>
      <c r="F36" s="1">
        <f>_xlfn.XLOOKUP(E36, CONTROLE_ESTOQUE!$A$4:$A$19, CONTROLE_ESTOQUE!$F$4:$F$19, 0)</f>
        <v>0</v>
      </c>
    </row>
    <row r="37" spans="4:6" hidden="1" x14ac:dyDescent="0.3">
      <c r="D37" s="30" t="e">
        <f>VLOOKUP(C37,CONTROLE_VENDAS!$A$3:$D$9,4,0)</f>
        <v>#N/A</v>
      </c>
      <c r="F37" s="1">
        <f>_xlfn.XLOOKUP(E37, CONTROLE_ESTOQUE!$A$4:$A$19, CONTROLE_ESTOQUE!$F$4:$F$19, 0)</f>
        <v>0</v>
      </c>
    </row>
    <row r="38" spans="4:6" hidden="1" x14ac:dyDescent="0.3">
      <c r="D38" s="30" t="e">
        <f>VLOOKUP(C38,CONTROLE_VENDAS!$A$3:$D$9,4,0)</f>
        <v>#N/A</v>
      </c>
      <c r="F38" s="1">
        <f>_xlfn.XLOOKUP(E38, CONTROLE_ESTOQUE!$A$4:$A$19, CONTROLE_ESTOQUE!$F$4:$F$19, 0)</f>
        <v>0</v>
      </c>
    </row>
    <row r="39" spans="4:6" hidden="1" x14ac:dyDescent="0.3">
      <c r="D39" s="30" t="e">
        <f>VLOOKUP(C39,CONTROLE_VENDAS!$A$3:$D$9,4,0)</f>
        <v>#N/A</v>
      </c>
      <c r="F39" s="1">
        <f>_xlfn.XLOOKUP(E39, CONTROLE_ESTOQUE!$A$4:$A$19, CONTROLE_ESTOQUE!$F$4:$F$19, 0)</f>
        <v>0</v>
      </c>
    </row>
    <row r="40" spans="4:6" hidden="1" x14ac:dyDescent="0.3">
      <c r="D40" s="30" t="e">
        <f>VLOOKUP(C40,CONTROLE_VENDAS!$A$3:$D$9,4,0)</f>
        <v>#N/A</v>
      </c>
      <c r="F40" s="1">
        <f>_xlfn.XLOOKUP(E40, CONTROLE_ESTOQUE!$A$4:$A$19, CONTROLE_ESTOQUE!$F$4:$F$19, 0)</f>
        <v>0</v>
      </c>
    </row>
    <row r="41" spans="4:6" hidden="1" x14ac:dyDescent="0.3">
      <c r="D41" s="30" t="e">
        <f>VLOOKUP(C41,CONTROLE_VENDAS!$A$3:$D$9,4,0)</f>
        <v>#N/A</v>
      </c>
      <c r="F41" s="1">
        <f>_xlfn.XLOOKUP(E41, CONTROLE_ESTOQUE!$A$4:$A$19, CONTROLE_ESTOQUE!$F$4:$F$19, 0)</f>
        <v>0</v>
      </c>
    </row>
    <row r="42" spans="4:6" hidden="1" x14ac:dyDescent="0.3">
      <c r="D42" s="30" t="e">
        <f>VLOOKUP(C42,CONTROLE_VENDAS!$A$3:$D$9,4,0)</f>
        <v>#N/A</v>
      </c>
      <c r="F42" s="1">
        <f>_xlfn.XLOOKUP(E42, CONTROLE_ESTOQUE!$A$4:$A$19, CONTROLE_ESTOQUE!$F$4:$F$19, 0)</f>
        <v>0</v>
      </c>
    </row>
    <row r="43" spans="4:6" hidden="1" x14ac:dyDescent="0.3">
      <c r="D43" s="30" t="e">
        <f>VLOOKUP(C43,CONTROLE_VENDAS!$A$3:$D$9,4,0)</f>
        <v>#N/A</v>
      </c>
      <c r="F43" s="1">
        <f>_xlfn.XLOOKUP(E43, CONTROLE_ESTOQUE!$A$4:$A$19, CONTROLE_ESTOQUE!$F$4:$F$19, 0)</f>
        <v>0</v>
      </c>
    </row>
    <row r="44" spans="4:6" hidden="1" x14ac:dyDescent="0.3">
      <c r="D44" s="30" t="e">
        <f>VLOOKUP(C44,CONTROLE_VENDAS!$A$3:$D$9,4,0)</f>
        <v>#N/A</v>
      </c>
      <c r="F44" s="1">
        <f>_xlfn.XLOOKUP(E44, CONTROLE_ESTOQUE!$A$4:$A$19, CONTROLE_ESTOQUE!$F$4:$F$19, 0)</f>
        <v>0</v>
      </c>
    </row>
    <row r="45" spans="4:6" hidden="1" x14ac:dyDescent="0.3">
      <c r="D45" s="30" t="e">
        <f>VLOOKUP(C45,CONTROLE_VENDAS!$A$3:$D$9,4,0)</f>
        <v>#N/A</v>
      </c>
      <c r="F45" s="1">
        <f>_xlfn.XLOOKUP(E45, CONTROLE_ESTOQUE!$A$4:$A$19, CONTROLE_ESTOQUE!$F$4:$F$19, 0)</f>
        <v>0</v>
      </c>
    </row>
    <row r="46" spans="4:6" hidden="1" x14ac:dyDescent="0.3">
      <c r="D46" s="30" t="e">
        <f>VLOOKUP(C46,CONTROLE_VENDAS!$A$3:$D$9,4,0)</f>
        <v>#N/A</v>
      </c>
      <c r="F46" s="1">
        <f>_xlfn.XLOOKUP(E46, CONTROLE_ESTOQUE!$A$4:$A$19, CONTROLE_ESTOQUE!$F$4:$F$19, 0)</f>
        <v>0</v>
      </c>
    </row>
    <row r="47" spans="4:6" hidden="1" x14ac:dyDescent="0.3">
      <c r="D47" s="30" t="e">
        <f>VLOOKUP(C47,CONTROLE_VENDAS!$A$3:$D$9,4,0)</f>
        <v>#N/A</v>
      </c>
      <c r="F47" s="1">
        <f>_xlfn.XLOOKUP(E47, CONTROLE_ESTOQUE!$A$4:$A$19, CONTROLE_ESTOQUE!$F$4:$F$19, 0)</f>
        <v>0</v>
      </c>
    </row>
    <row r="48" spans="4:6" hidden="1" x14ac:dyDescent="0.3">
      <c r="D48" s="30" t="e">
        <f>VLOOKUP(C48,CONTROLE_VENDAS!$A$3:$D$9,4,0)</f>
        <v>#N/A</v>
      </c>
      <c r="F48" s="1">
        <f>_xlfn.XLOOKUP(E48, CONTROLE_ESTOQUE!$A$4:$A$19, CONTROLE_ESTOQUE!$F$4:$F$19, 0)</f>
        <v>0</v>
      </c>
    </row>
    <row r="49" spans="4:6" hidden="1" x14ac:dyDescent="0.3">
      <c r="D49" s="30" t="e">
        <f>VLOOKUP(C49,CONTROLE_VENDAS!$A$3:$D$9,4,0)</f>
        <v>#N/A</v>
      </c>
      <c r="F49" s="1">
        <f>_xlfn.XLOOKUP(E49, CONTROLE_ESTOQUE!$A$4:$A$19, CONTROLE_ESTOQUE!$F$4:$F$19, 0)</f>
        <v>0</v>
      </c>
    </row>
    <row r="50" spans="4:6" hidden="1" x14ac:dyDescent="0.3">
      <c r="D50" s="30" t="e">
        <f>VLOOKUP(C50,CONTROLE_VENDAS!$A$3:$D$9,4,0)</f>
        <v>#N/A</v>
      </c>
      <c r="F50" s="1">
        <f>_xlfn.XLOOKUP(E50, CONTROLE_ESTOQUE!$A$4:$A$19, CONTROLE_ESTOQUE!$F$4:$F$19, 0)</f>
        <v>0</v>
      </c>
    </row>
    <row r="51" spans="4:6" hidden="1" x14ac:dyDescent="0.3">
      <c r="D51" s="30" t="e">
        <f>VLOOKUP(C51,CONTROLE_VENDAS!$A$3:$D$9,4,0)</f>
        <v>#N/A</v>
      </c>
      <c r="F51" s="1">
        <f>_xlfn.XLOOKUP(E51, CONTROLE_ESTOQUE!$A$4:$A$19, CONTROLE_ESTOQUE!$F$4:$F$19, 0)</f>
        <v>0</v>
      </c>
    </row>
    <row r="52" spans="4:6" hidden="1" x14ac:dyDescent="0.3">
      <c r="D52" s="30" t="e">
        <f>VLOOKUP(C52,CONTROLE_VENDAS!$A$3:$D$9,4,0)</f>
        <v>#N/A</v>
      </c>
      <c r="F52" s="1">
        <f>_xlfn.XLOOKUP(E52, CONTROLE_ESTOQUE!$A$4:$A$19, CONTROLE_ESTOQUE!$F$4:$F$19, 0)</f>
        <v>0</v>
      </c>
    </row>
    <row r="53" spans="4:6" hidden="1" x14ac:dyDescent="0.3">
      <c r="D53" s="30" t="e">
        <f>VLOOKUP(C53,CONTROLE_VENDAS!$A$3:$D$9,4,0)</f>
        <v>#N/A</v>
      </c>
      <c r="F53" s="1">
        <f>_xlfn.XLOOKUP(E53, CONTROLE_ESTOQUE!$A$4:$A$19, CONTROLE_ESTOQUE!$F$4:$F$19, 0)</f>
        <v>0</v>
      </c>
    </row>
    <row r="54" spans="4:6" hidden="1" x14ac:dyDescent="0.3">
      <c r="D54" s="30" t="e">
        <f>VLOOKUP(C54,CONTROLE_VENDAS!$A$3:$D$9,4,0)</f>
        <v>#N/A</v>
      </c>
      <c r="F54" s="1">
        <f>_xlfn.XLOOKUP(E54, CONTROLE_ESTOQUE!$A$4:$A$19, CONTROLE_ESTOQUE!$F$4:$F$19, 0)</f>
        <v>0</v>
      </c>
    </row>
    <row r="55" spans="4:6" hidden="1" x14ac:dyDescent="0.3">
      <c r="D55" s="30" t="e">
        <f>VLOOKUP(C55,CONTROLE_VENDAS!$A$3:$D$9,4,0)</f>
        <v>#N/A</v>
      </c>
      <c r="F55" s="1">
        <f>_xlfn.XLOOKUP(E55, CONTROLE_ESTOQUE!$A$4:$A$19, CONTROLE_ESTOQUE!$F$4:$F$19, 0)</f>
        <v>0</v>
      </c>
    </row>
    <row r="56" spans="4:6" hidden="1" x14ac:dyDescent="0.3">
      <c r="D56" s="30" t="e">
        <f>VLOOKUP(C56,CONTROLE_VENDAS!$A$3:$D$9,4,0)</f>
        <v>#N/A</v>
      </c>
      <c r="F56" s="1">
        <f>_xlfn.XLOOKUP(E56, CONTROLE_ESTOQUE!$A$4:$A$19, CONTROLE_ESTOQUE!$F$4:$F$19, 0)</f>
        <v>0</v>
      </c>
    </row>
    <row r="57" spans="4:6" hidden="1" x14ac:dyDescent="0.3">
      <c r="D57" s="30" t="e">
        <f>VLOOKUP(C57,CONTROLE_VENDAS!$A$3:$D$9,4,0)</f>
        <v>#N/A</v>
      </c>
      <c r="F57" s="1">
        <f>_xlfn.XLOOKUP(E57, CONTROLE_ESTOQUE!$A$4:$A$19, CONTROLE_ESTOQUE!$F$4:$F$19, 0)</f>
        <v>0</v>
      </c>
    </row>
    <row r="58" spans="4:6" hidden="1" x14ac:dyDescent="0.3">
      <c r="D58" s="30" t="e">
        <f>VLOOKUP(C58,CONTROLE_VENDAS!$A$3:$D$9,4,0)</f>
        <v>#N/A</v>
      </c>
      <c r="F58" s="1">
        <f>_xlfn.XLOOKUP(E58, CONTROLE_ESTOQUE!$A$4:$A$19, CONTROLE_ESTOQUE!$F$4:$F$19, 0)</f>
        <v>0</v>
      </c>
    </row>
    <row r="59" spans="4:6" hidden="1" x14ac:dyDescent="0.3">
      <c r="D59" s="30" t="e">
        <f>VLOOKUP(C59,CONTROLE_VENDAS!$A$3:$D$9,4,0)</f>
        <v>#N/A</v>
      </c>
      <c r="F59" s="1">
        <f>_xlfn.XLOOKUP(E59, CONTROLE_ESTOQUE!$A$4:$A$19, CONTROLE_ESTOQUE!$F$4:$F$19, 0)</f>
        <v>0</v>
      </c>
    </row>
    <row r="60" spans="4:6" hidden="1" x14ac:dyDescent="0.3">
      <c r="D60" s="30" t="e">
        <f>VLOOKUP(C60,CONTROLE_VENDAS!$A$3:$D$9,4,0)</f>
        <v>#N/A</v>
      </c>
      <c r="F60" s="1">
        <f>_xlfn.XLOOKUP(E60, CONTROLE_ESTOQUE!$A$4:$A$19, CONTROLE_ESTOQUE!$F$4:$F$19, 0)</f>
        <v>0</v>
      </c>
    </row>
    <row r="61" spans="4:6" hidden="1" x14ac:dyDescent="0.3">
      <c r="D61" s="30" t="e">
        <f>VLOOKUP(C61,CONTROLE_VENDAS!$A$3:$D$9,4,0)</f>
        <v>#N/A</v>
      </c>
      <c r="F61" s="1">
        <f>_xlfn.XLOOKUP(E61, CONTROLE_ESTOQUE!$A$4:$A$19, CONTROLE_ESTOQUE!$F$4:$F$19, 0)</f>
        <v>0</v>
      </c>
    </row>
    <row r="62" spans="4:6" hidden="1" x14ac:dyDescent="0.3">
      <c r="D62" s="30" t="e">
        <f>VLOOKUP(C62,CONTROLE_VENDAS!$A$3:$D$9,4,0)</f>
        <v>#N/A</v>
      </c>
      <c r="F62" s="1">
        <f>_xlfn.XLOOKUP(E62, CONTROLE_ESTOQUE!$A$4:$A$19, CONTROLE_ESTOQUE!$F$4:$F$19, 0)</f>
        <v>0</v>
      </c>
    </row>
    <row r="63" spans="4:6" hidden="1" x14ac:dyDescent="0.3">
      <c r="D63" s="30" t="e">
        <f>VLOOKUP(C63,CONTROLE_VENDAS!$A$3:$D$9,4,0)</f>
        <v>#N/A</v>
      </c>
      <c r="F63" s="1">
        <f>_xlfn.XLOOKUP(E63, CONTROLE_ESTOQUE!$A$4:$A$19, CONTROLE_ESTOQUE!$F$4:$F$19, 0)</f>
        <v>0</v>
      </c>
    </row>
    <row r="64" spans="4:6" hidden="1" x14ac:dyDescent="0.3">
      <c r="D64" s="30" t="e">
        <f>VLOOKUP(C64,CONTROLE_VENDAS!$A$3:$D$9,4,0)</f>
        <v>#N/A</v>
      </c>
      <c r="F64" s="1">
        <f>_xlfn.XLOOKUP(E64, CONTROLE_ESTOQUE!$A$4:$A$19, CONTROLE_ESTOQUE!$F$4:$F$19, 0)</f>
        <v>0</v>
      </c>
    </row>
    <row r="65" spans="4:6" hidden="1" x14ac:dyDescent="0.3">
      <c r="D65" s="30" t="e">
        <f>VLOOKUP(C65,CONTROLE_VENDAS!$A$3:$D$9,4,0)</f>
        <v>#N/A</v>
      </c>
      <c r="F65" s="1">
        <f>_xlfn.XLOOKUP(E65, CONTROLE_ESTOQUE!$A$4:$A$19, CONTROLE_ESTOQUE!$F$4:$F$19, 0)</f>
        <v>0</v>
      </c>
    </row>
    <row r="66" spans="4:6" hidden="1" x14ac:dyDescent="0.3">
      <c r="D66" s="30" t="e">
        <f>VLOOKUP(C66,CONTROLE_VENDAS!$A$3:$D$9,4,0)</f>
        <v>#N/A</v>
      </c>
      <c r="F66" s="1">
        <f>_xlfn.XLOOKUP(E66, CONTROLE_ESTOQUE!$A$4:$A$19, CONTROLE_ESTOQUE!$F$4:$F$19, 0)</f>
        <v>0</v>
      </c>
    </row>
    <row r="67" spans="4:6" hidden="1" x14ac:dyDescent="0.3">
      <c r="D67" s="30" t="e">
        <f>VLOOKUP(C67,CONTROLE_VENDAS!$A$3:$D$9,4,0)</f>
        <v>#N/A</v>
      </c>
      <c r="F67" s="1">
        <f>_xlfn.XLOOKUP(E67, CONTROLE_ESTOQUE!$A$4:$A$19, CONTROLE_ESTOQUE!$F$4:$F$19, 0)</f>
        <v>0</v>
      </c>
    </row>
    <row r="68" spans="4:6" hidden="1" x14ac:dyDescent="0.3">
      <c r="D68" s="30" t="e">
        <f>VLOOKUP(C68,CONTROLE_VENDAS!$A$3:$D$9,4,0)</f>
        <v>#N/A</v>
      </c>
      <c r="F68" s="1">
        <f>_xlfn.XLOOKUP(E68, CONTROLE_ESTOQUE!$A$4:$A$19, CONTROLE_ESTOQUE!$F$4:$F$19, 0)</f>
        <v>0</v>
      </c>
    </row>
    <row r="69" spans="4:6" hidden="1" x14ac:dyDescent="0.3">
      <c r="D69" s="30" t="e">
        <f>VLOOKUP(C69,CONTROLE_VENDAS!$A$3:$D$9,4,0)</f>
        <v>#N/A</v>
      </c>
      <c r="F69" s="1">
        <f>_xlfn.XLOOKUP(E69, CONTROLE_ESTOQUE!$A$4:$A$19, CONTROLE_ESTOQUE!$F$4:$F$19, 0)</f>
        <v>0</v>
      </c>
    </row>
    <row r="70" spans="4:6" hidden="1" x14ac:dyDescent="0.3">
      <c r="D70" s="30" t="e">
        <f>VLOOKUP(C70,CONTROLE_VENDAS!$A$3:$D$9,4,0)</f>
        <v>#N/A</v>
      </c>
      <c r="F70" s="1">
        <f>_xlfn.XLOOKUP(E70, CONTROLE_ESTOQUE!$A$4:$A$19, CONTROLE_ESTOQUE!$F$4:$F$19, 0)</f>
        <v>0</v>
      </c>
    </row>
    <row r="71" spans="4:6" hidden="1" x14ac:dyDescent="0.3">
      <c r="D71" s="30" t="e">
        <f>VLOOKUP(C71,CONTROLE_VENDAS!$A$3:$D$9,4,0)</f>
        <v>#N/A</v>
      </c>
      <c r="F71" s="1">
        <f>_xlfn.XLOOKUP(E71, CONTROLE_ESTOQUE!$A$4:$A$19, CONTROLE_ESTOQUE!$F$4:$F$19, 0)</f>
        <v>0</v>
      </c>
    </row>
    <row r="72" spans="4:6" hidden="1" x14ac:dyDescent="0.3">
      <c r="D72" s="30" t="e">
        <f>VLOOKUP(C72,CONTROLE_VENDAS!$A$3:$D$9,4,0)</f>
        <v>#N/A</v>
      </c>
      <c r="F72" s="1">
        <f>_xlfn.XLOOKUP(E72, CONTROLE_ESTOQUE!$A$4:$A$19, CONTROLE_ESTOQUE!$F$4:$F$19, 0)</f>
        <v>0</v>
      </c>
    </row>
    <row r="73" spans="4:6" hidden="1" x14ac:dyDescent="0.3">
      <c r="D73" s="30" t="e">
        <f>VLOOKUP(C73,CONTROLE_VENDAS!$A$3:$D$9,4,0)</f>
        <v>#N/A</v>
      </c>
      <c r="F73" s="1">
        <f>_xlfn.XLOOKUP(E73, CONTROLE_ESTOQUE!$A$4:$A$19, CONTROLE_ESTOQUE!$F$4:$F$19, 0)</f>
        <v>0</v>
      </c>
    </row>
    <row r="74" spans="4:6" hidden="1" x14ac:dyDescent="0.3">
      <c r="D74" s="30" t="e">
        <f>VLOOKUP(C74,CONTROLE_VENDAS!$A$3:$D$9,4,0)</f>
        <v>#N/A</v>
      </c>
      <c r="F74" s="1">
        <f>_xlfn.XLOOKUP(E74, CONTROLE_ESTOQUE!$A$4:$A$19, CONTROLE_ESTOQUE!$F$4:$F$19, 0)</f>
        <v>0</v>
      </c>
    </row>
    <row r="75" spans="4:6" hidden="1" x14ac:dyDescent="0.3">
      <c r="D75" s="30" t="e">
        <f>VLOOKUP(C75,CONTROLE_VENDAS!$A$3:$D$9,4,0)</f>
        <v>#N/A</v>
      </c>
      <c r="F75" s="1">
        <f>_xlfn.XLOOKUP(E75, CONTROLE_ESTOQUE!$A$4:$A$19, CONTROLE_ESTOQUE!$F$4:$F$19, 0)</f>
        <v>0</v>
      </c>
    </row>
    <row r="76" spans="4:6" hidden="1" x14ac:dyDescent="0.3">
      <c r="D76" s="30" t="e">
        <f>VLOOKUP(C76,CONTROLE_VENDAS!$A$3:$D$9,4,0)</f>
        <v>#N/A</v>
      </c>
      <c r="F76" s="1">
        <f>_xlfn.XLOOKUP(E76, CONTROLE_ESTOQUE!$A$4:$A$19, CONTROLE_ESTOQUE!$F$4:$F$19, 0)</f>
        <v>0</v>
      </c>
    </row>
    <row r="77" spans="4:6" hidden="1" x14ac:dyDescent="0.3">
      <c r="D77" s="30" t="e">
        <f>VLOOKUP(C77,CONTROLE_VENDAS!$A$3:$D$9,4,0)</f>
        <v>#N/A</v>
      </c>
      <c r="F77" s="1">
        <f>_xlfn.XLOOKUP(E77, CONTROLE_ESTOQUE!$A$4:$A$19, CONTROLE_ESTOQUE!$F$4:$F$19, 0)</f>
        <v>0</v>
      </c>
    </row>
    <row r="78" spans="4:6" hidden="1" x14ac:dyDescent="0.3">
      <c r="D78" s="30" t="e">
        <f>VLOOKUP(C78,CONTROLE_VENDAS!$A$3:$D$9,4,0)</f>
        <v>#N/A</v>
      </c>
      <c r="F78" s="1">
        <f>_xlfn.XLOOKUP(E78, CONTROLE_ESTOQUE!$A$4:$A$19, CONTROLE_ESTOQUE!$F$4:$F$19, 0)</f>
        <v>0</v>
      </c>
    </row>
    <row r="79" spans="4:6" hidden="1" x14ac:dyDescent="0.3">
      <c r="D79" s="30" t="e">
        <f>VLOOKUP(C79,CONTROLE_VENDAS!$A$3:$D$9,4,0)</f>
        <v>#N/A</v>
      </c>
      <c r="F79" s="1">
        <f>_xlfn.XLOOKUP(E79, CONTROLE_ESTOQUE!$A$4:$A$19, CONTROLE_ESTOQUE!$F$4:$F$19, 0)</f>
        <v>0</v>
      </c>
    </row>
    <row r="80" spans="4:6" hidden="1" x14ac:dyDescent="0.3">
      <c r="D80" s="30" t="e">
        <f>VLOOKUP(C80,CONTROLE_VENDAS!$A$3:$D$9,4,0)</f>
        <v>#N/A</v>
      </c>
      <c r="F80" s="1">
        <f>_xlfn.XLOOKUP(E80, CONTROLE_ESTOQUE!$A$4:$A$19, CONTROLE_ESTOQUE!$F$4:$F$19, 0)</f>
        <v>0</v>
      </c>
    </row>
    <row r="81" spans="4:6" hidden="1" x14ac:dyDescent="0.3">
      <c r="D81" s="30" t="e">
        <f>VLOOKUP(C81,CONTROLE_VENDAS!$A$3:$D$9,4,0)</f>
        <v>#N/A</v>
      </c>
      <c r="F81" s="1">
        <f>_xlfn.XLOOKUP(E81, CONTROLE_ESTOQUE!$A$4:$A$19, CONTROLE_ESTOQUE!$F$4:$F$19, 0)</f>
        <v>0</v>
      </c>
    </row>
    <row r="82" spans="4:6" hidden="1" x14ac:dyDescent="0.3">
      <c r="D82" s="30" t="e">
        <f>VLOOKUP(C82,CONTROLE_VENDAS!$A$3:$D$9,4,0)</f>
        <v>#N/A</v>
      </c>
      <c r="F82" s="1">
        <f>_xlfn.XLOOKUP(E82, CONTROLE_ESTOQUE!$A$4:$A$19, CONTROLE_ESTOQUE!$F$4:$F$19, 0)</f>
        <v>0</v>
      </c>
    </row>
    <row r="83" spans="4:6" hidden="1" x14ac:dyDescent="0.3">
      <c r="D83" s="30" t="e">
        <f>VLOOKUP(C83,CONTROLE_VENDAS!$A$3:$D$9,4,0)</f>
        <v>#N/A</v>
      </c>
      <c r="F83" s="1">
        <f>_xlfn.XLOOKUP(E83, CONTROLE_ESTOQUE!$A$4:$A$19, CONTROLE_ESTOQUE!$F$4:$F$19, 0)</f>
        <v>0</v>
      </c>
    </row>
    <row r="84" spans="4:6" hidden="1" x14ac:dyDescent="0.3">
      <c r="D84" s="30" t="e">
        <f>VLOOKUP(C84,CONTROLE_VENDAS!$A$3:$D$9,4,0)</f>
        <v>#N/A</v>
      </c>
      <c r="F84" s="1">
        <f>_xlfn.XLOOKUP(E84, CONTROLE_ESTOQUE!$A$4:$A$19, CONTROLE_ESTOQUE!$F$4:$F$19, 0)</f>
        <v>0</v>
      </c>
    </row>
    <row r="85" spans="4:6" hidden="1" x14ac:dyDescent="0.3">
      <c r="D85" s="30" t="e">
        <f>VLOOKUP(C85,CONTROLE_VENDAS!$A$3:$D$9,4,0)</f>
        <v>#N/A</v>
      </c>
      <c r="F85" s="1">
        <f>_xlfn.XLOOKUP(E85, CONTROLE_ESTOQUE!$A$4:$A$19, CONTROLE_ESTOQUE!$F$4:$F$19, 0)</f>
        <v>0</v>
      </c>
    </row>
    <row r="86" spans="4:6" hidden="1" x14ac:dyDescent="0.3">
      <c r="D86" s="30" t="e">
        <f>VLOOKUP(C86,CONTROLE_VENDAS!$A$3:$D$9,4,0)</f>
        <v>#N/A</v>
      </c>
      <c r="F86" s="1">
        <f>_xlfn.XLOOKUP(E86, CONTROLE_ESTOQUE!$A$4:$A$19, CONTROLE_ESTOQUE!$F$4:$F$19, 0)</f>
        <v>0</v>
      </c>
    </row>
    <row r="87" spans="4:6" hidden="1" x14ac:dyDescent="0.3">
      <c r="D87" s="30" t="e">
        <f>VLOOKUP(C87,CONTROLE_VENDAS!$A$3:$D$9,4,0)</f>
        <v>#N/A</v>
      </c>
      <c r="F87" s="1">
        <f>_xlfn.XLOOKUP(E87, CONTROLE_ESTOQUE!$A$4:$A$19, CONTROLE_ESTOQUE!$F$4:$F$19, 0)</f>
        <v>0</v>
      </c>
    </row>
    <row r="88" spans="4:6" hidden="1" x14ac:dyDescent="0.3">
      <c r="D88" s="30" t="e">
        <f>VLOOKUP(C88,CONTROLE_VENDAS!$A$3:$D$9,4,0)</f>
        <v>#N/A</v>
      </c>
      <c r="F88" s="1">
        <f>_xlfn.XLOOKUP(E88, CONTROLE_ESTOQUE!$A$4:$A$19, CONTROLE_ESTOQUE!$F$4:$F$19, 0)</f>
        <v>0</v>
      </c>
    </row>
    <row r="89" spans="4:6" hidden="1" x14ac:dyDescent="0.3">
      <c r="D89" s="30" t="e">
        <f>VLOOKUP(C89,CONTROLE_VENDAS!$A$3:$D$9,4,0)</f>
        <v>#N/A</v>
      </c>
      <c r="F89" s="1">
        <f>_xlfn.XLOOKUP(E89, CONTROLE_ESTOQUE!$A$4:$A$19, CONTROLE_ESTOQUE!$F$4:$F$19, 0)</f>
        <v>0</v>
      </c>
    </row>
    <row r="90" spans="4:6" hidden="1" x14ac:dyDescent="0.3">
      <c r="D90" s="30" t="e">
        <f>VLOOKUP(C90,CONTROLE_VENDAS!$A$3:$D$9,4,0)</f>
        <v>#N/A</v>
      </c>
      <c r="F90" s="1">
        <f>_xlfn.XLOOKUP(E90, CONTROLE_ESTOQUE!$A$4:$A$19, CONTROLE_ESTOQUE!$F$4:$F$19, 0)</f>
        <v>0</v>
      </c>
    </row>
    <row r="91" spans="4:6" hidden="1" x14ac:dyDescent="0.3">
      <c r="D91" s="30" t="e">
        <f>VLOOKUP(C91,CONTROLE_VENDAS!$A$3:$D$9,4,0)</f>
        <v>#N/A</v>
      </c>
      <c r="F91" s="1">
        <f>_xlfn.XLOOKUP(E91, CONTROLE_ESTOQUE!$A$4:$A$19, CONTROLE_ESTOQUE!$F$4:$F$19, 0)</f>
        <v>0</v>
      </c>
    </row>
    <row r="92" spans="4:6" hidden="1" x14ac:dyDescent="0.3">
      <c r="D92" s="30" t="e">
        <f>VLOOKUP(C92,CONTROLE_VENDAS!$A$3:$D$9,4,0)</f>
        <v>#N/A</v>
      </c>
      <c r="F92" s="1">
        <f>_xlfn.XLOOKUP(E92, CONTROLE_ESTOQUE!$A$4:$A$19, CONTROLE_ESTOQUE!$F$4:$F$19, 0)</f>
        <v>0</v>
      </c>
    </row>
    <row r="93" spans="4:6" hidden="1" x14ac:dyDescent="0.3">
      <c r="D93" s="30" t="e">
        <f>VLOOKUP(C93,CONTROLE_VENDAS!$A$3:$D$9,4,0)</f>
        <v>#N/A</v>
      </c>
      <c r="F93" s="1">
        <f>_xlfn.XLOOKUP(E93, CONTROLE_ESTOQUE!$A$4:$A$19, CONTROLE_ESTOQUE!$F$4:$F$19, 0)</f>
        <v>0</v>
      </c>
    </row>
    <row r="94" spans="4:6" hidden="1" x14ac:dyDescent="0.3">
      <c r="D94" s="30" t="e">
        <f>VLOOKUP(C94,CONTROLE_VENDAS!$A$3:$D$9,4,0)</f>
        <v>#N/A</v>
      </c>
      <c r="F94" s="1">
        <f>_xlfn.XLOOKUP(E94, CONTROLE_ESTOQUE!$A$4:$A$19, CONTROLE_ESTOQUE!$F$4:$F$19, 0)</f>
        <v>0</v>
      </c>
    </row>
    <row r="95" spans="4:6" hidden="1" x14ac:dyDescent="0.3">
      <c r="D95" s="30" t="e">
        <f>VLOOKUP(C95,CONTROLE_VENDAS!$A$3:$D$9,4,0)</f>
        <v>#N/A</v>
      </c>
      <c r="F95" s="1">
        <f>_xlfn.XLOOKUP(E95, CONTROLE_ESTOQUE!$A$4:$A$19, CONTROLE_ESTOQUE!$F$4:$F$19, 0)</f>
        <v>0</v>
      </c>
    </row>
    <row r="96" spans="4:6" hidden="1" x14ac:dyDescent="0.3">
      <c r="D96" s="30" t="e">
        <f>VLOOKUP(C96,CONTROLE_VENDAS!$A$3:$D$9,4,0)</f>
        <v>#N/A</v>
      </c>
      <c r="F96" s="1">
        <f>_xlfn.XLOOKUP(E96, CONTROLE_ESTOQUE!$A$4:$A$19, CONTROLE_ESTOQUE!$F$4:$F$19, 0)</f>
        <v>0</v>
      </c>
    </row>
    <row r="97" spans="4:6" hidden="1" x14ac:dyDescent="0.3">
      <c r="D97" s="30" t="e">
        <f>VLOOKUP(C97,CONTROLE_VENDAS!$A$3:$D$9,4,0)</f>
        <v>#N/A</v>
      </c>
      <c r="F97" s="1">
        <f>_xlfn.XLOOKUP(E97, CONTROLE_ESTOQUE!$A$4:$A$19, CONTROLE_ESTOQUE!$F$4:$F$19, 0)</f>
        <v>0</v>
      </c>
    </row>
    <row r="98" spans="4:6" hidden="1" x14ac:dyDescent="0.3">
      <c r="D98" s="30" t="e">
        <f>VLOOKUP(C98,CONTROLE_VENDAS!$A$3:$D$9,4,0)</f>
        <v>#N/A</v>
      </c>
      <c r="F98" s="1">
        <f>_xlfn.XLOOKUP(E98, CONTROLE_ESTOQUE!$A$4:$A$19, CONTROLE_ESTOQUE!$F$4:$F$19, 0)</f>
        <v>0</v>
      </c>
    </row>
    <row r="99" spans="4:6" hidden="1" x14ac:dyDescent="0.3">
      <c r="D99" s="30" t="e">
        <f>VLOOKUP(C99,CONTROLE_VENDAS!$A$3:$D$9,4,0)</f>
        <v>#N/A</v>
      </c>
      <c r="F99" s="1">
        <f>_xlfn.XLOOKUP(E99, CONTROLE_ESTOQUE!$A$4:$A$19, CONTROLE_ESTOQUE!$F$4:$F$19, 0)</f>
        <v>0</v>
      </c>
    </row>
    <row r="100" spans="4:6" hidden="1" x14ac:dyDescent="0.3">
      <c r="D100" s="30" t="e">
        <f>VLOOKUP(C100,CONTROLE_VENDAS!$A$3:$D$9,4,0)</f>
        <v>#N/A</v>
      </c>
      <c r="F100" s="1">
        <f>_xlfn.XLOOKUP(E100, CONTROLE_ESTOQUE!$A$4:$A$19, CONTROLE_ESTOQUE!$F$4:$F$19, 0)</f>
        <v>0</v>
      </c>
    </row>
    <row r="101" spans="4:6" hidden="1" x14ac:dyDescent="0.3">
      <c r="D101" s="30" t="e">
        <f>VLOOKUP(C101,CONTROLE_VENDAS!$A$3:$D$9,4,0)</f>
        <v>#N/A</v>
      </c>
      <c r="F101" s="1">
        <f>_xlfn.XLOOKUP(E101, CONTROLE_ESTOQUE!$A$4:$A$19, CONTROLE_ESTOQUE!$F$4:$F$19, 0)</f>
        <v>0</v>
      </c>
    </row>
    <row r="102" spans="4:6" hidden="1" x14ac:dyDescent="0.3">
      <c r="D102" s="30" t="e">
        <f>VLOOKUP(C102,CONTROLE_VENDAS!$A$3:$D$9,4,0)</f>
        <v>#N/A</v>
      </c>
      <c r="F102" s="1">
        <f>_xlfn.XLOOKUP(E102, CONTROLE_ESTOQUE!$A$4:$A$19, CONTROLE_ESTOQUE!$F$4:$F$19, 0)</f>
        <v>0</v>
      </c>
    </row>
    <row r="103" spans="4:6" hidden="1" x14ac:dyDescent="0.3">
      <c r="D103" s="30" t="e">
        <f>VLOOKUP(C103,CONTROLE_VENDAS!$A$3:$D$9,4,0)</f>
        <v>#N/A</v>
      </c>
      <c r="F103" s="1">
        <f>_xlfn.XLOOKUP(E103, CONTROLE_ESTOQUE!$A$4:$A$19, CONTROLE_ESTOQUE!$F$4:$F$19, 0)</f>
        <v>0</v>
      </c>
    </row>
    <row r="104" spans="4:6" hidden="1" x14ac:dyDescent="0.3">
      <c r="D104" s="30" t="e">
        <f>VLOOKUP(C104,CONTROLE_VENDAS!$A$3:$D$9,4,0)</f>
        <v>#N/A</v>
      </c>
      <c r="F104" s="1">
        <f>_xlfn.XLOOKUP(E104, CONTROLE_ESTOQUE!$A$4:$A$19, CONTROLE_ESTOQUE!$F$4:$F$19, 0)</f>
        <v>0</v>
      </c>
    </row>
    <row r="105" spans="4:6" hidden="1" x14ac:dyDescent="0.3">
      <c r="F105" s="1">
        <f>_xlfn.XLOOKUP(E105, CONTROLE_ESTOQUE!$A$4:$A$19, CONTROLE_ESTOQUE!$F$4:$F$19, 0)</f>
        <v>0</v>
      </c>
    </row>
    <row r="106" spans="4:6" hidden="1" x14ac:dyDescent="0.3">
      <c r="F106" s="1">
        <f>_xlfn.XLOOKUP(E106, CONTROLE_ESTOQUE!$A$4:$A$19, CONTROLE_ESTOQUE!$F$4:$F$19, 0)</f>
        <v>0</v>
      </c>
    </row>
    <row r="107" spans="4:6" hidden="1" x14ac:dyDescent="0.3">
      <c r="F107" s="1">
        <f>_xlfn.XLOOKUP(E107, CONTROLE_ESTOQUE!$A$4:$A$19, CONTROLE_ESTOQUE!$F$4:$F$19, 0)</f>
        <v>0</v>
      </c>
    </row>
    <row r="108" spans="4:6" hidden="1" x14ac:dyDescent="0.3">
      <c r="F108" s="1">
        <f>_xlfn.XLOOKUP(E108, CONTROLE_ESTOQUE!$A$4:$A$19, CONTROLE_ESTOQUE!$F$4:$F$19, 0)</f>
        <v>0</v>
      </c>
    </row>
    <row r="109" spans="4:6" hidden="1" x14ac:dyDescent="0.3">
      <c r="F109" s="1">
        <f>_xlfn.XLOOKUP(E109, CONTROLE_ESTOQUE!$A$4:$A$19, CONTROLE_ESTOQUE!$F$4:$F$19, 0)</f>
        <v>0</v>
      </c>
    </row>
    <row r="110" spans="4:6" hidden="1" x14ac:dyDescent="0.3">
      <c r="F110" s="1">
        <f>_xlfn.XLOOKUP(E110, CONTROLE_ESTOQUE!$A$4:$A$19, CONTROLE_ESTOQUE!$F$4:$F$19, 0)</f>
        <v>0</v>
      </c>
    </row>
    <row r="111" spans="4:6" hidden="1" x14ac:dyDescent="0.3">
      <c r="F111" s="1">
        <f>_xlfn.XLOOKUP(E111, CONTROLE_ESTOQUE!$A$4:$A$19, CONTROLE_ESTOQUE!$F$4:$F$19, 0)</f>
        <v>0</v>
      </c>
    </row>
    <row r="112" spans="4:6" hidden="1" x14ac:dyDescent="0.3">
      <c r="F112" s="1">
        <f>_xlfn.XLOOKUP(E112, CONTROLE_ESTOQUE!$A$4:$A$19, CONTROLE_ESTOQUE!$F$4:$F$19, 0)</f>
        <v>0</v>
      </c>
    </row>
    <row r="113" spans="6:6" hidden="1" x14ac:dyDescent="0.3">
      <c r="F113" s="1">
        <f>_xlfn.XLOOKUP(E113, CONTROLE_ESTOQUE!$A$4:$A$19, CONTROLE_ESTOQUE!$F$4:$F$19, 0)</f>
        <v>0</v>
      </c>
    </row>
    <row r="114" spans="6:6" hidden="1" x14ac:dyDescent="0.3">
      <c r="F114" s="1">
        <f>_xlfn.XLOOKUP(E114, CONTROLE_ESTOQUE!$A$4:$A$19, CONTROLE_ESTOQUE!$F$4:$F$19, 0)</f>
        <v>0</v>
      </c>
    </row>
    <row r="115" spans="6:6" hidden="1" x14ac:dyDescent="0.3">
      <c r="F115" s="1">
        <f>_xlfn.XLOOKUP(E115, CONTROLE_ESTOQUE!$A$4:$A$19, CONTROLE_ESTOQUE!$F$4:$F$19, 0)</f>
        <v>0</v>
      </c>
    </row>
    <row r="116" spans="6:6" hidden="1" x14ac:dyDescent="0.3">
      <c r="F116" s="1">
        <f>_xlfn.XLOOKUP(E116, CONTROLE_ESTOQUE!$A$4:$A$19, CONTROLE_ESTOQUE!$F$4:$F$19, 0)</f>
        <v>0</v>
      </c>
    </row>
    <row r="117" spans="6:6" hidden="1" x14ac:dyDescent="0.3">
      <c r="F117" s="1">
        <f>_xlfn.XLOOKUP(E117, CONTROLE_ESTOQUE!$A$4:$A$19, CONTROLE_ESTOQUE!$F$4:$F$19, 0)</f>
        <v>0</v>
      </c>
    </row>
    <row r="118" spans="6:6" hidden="1" x14ac:dyDescent="0.3">
      <c r="F118" s="1">
        <f>_xlfn.XLOOKUP(E118, CONTROLE_ESTOQUE!$A$4:$A$19, CONTROLE_ESTOQUE!$F$4:$F$19, 0)</f>
        <v>0</v>
      </c>
    </row>
    <row r="119" spans="6:6" hidden="1" x14ac:dyDescent="0.3">
      <c r="F119" s="1">
        <f>_xlfn.XLOOKUP(E119, CONTROLE_ESTOQUE!$A$4:$A$19, CONTROLE_ESTOQUE!$F$4:$F$19, 0)</f>
        <v>0</v>
      </c>
    </row>
    <row r="120" spans="6:6" hidden="1" x14ac:dyDescent="0.3">
      <c r="F120" s="1">
        <f>_xlfn.XLOOKUP(E120, CONTROLE_ESTOQUE!$A$4:$A$19, CONTROLE_ESTOQUE!$F$4:$F$19, 0)</f>
        <v>0</v>
      </c>
    </row>
    <row r="121" spans="6:6" hidden="1" x14ac:dyDescent="0.3">
      <c r="F121" s="1">
        <f>_xlfn.XLOOKUP(E121, CONTROLE_ESTOQUE!$A$4:$A$19, CONTROLE_ESTOQUE!$F$4:$F$19, 0)</f>
        <v>0</v>
      </c>
    </row>
    <row r="122" spans="6:6" hidden="1" x14ac:dyDescent="0.3">
      <c r="F122" s="1">
        <f>_xlfn.XLOOKUP(E122, CONTROLE_ESTOQUE!$A$4:$A$19, CONTROLE_ESTOQUE!$F$4:$F$19, 0)</f>
        <v>0</v>
      </c>
    </row>
    <row r="123" spans="6:6" hidden="1" x14ac:dyDescent="0.3">
      <c r="F123" s="1">
        <f>_xlfn.XLOOKUP(E123, CONTROLE_ESTOQUE!$A$4:$A$19, CONTROLE_ESTOQUE!$F$4:$F$19, 0)</f>
        <v>0</v>
      </c>
    </row>
    <row r="124" spans="6:6" hidden="1" x14ac:dyDescent="0.3">
      <c r="F124" s="1">
        <f>_xlfn.XLOOKUP(E124, CONTROLE_ESTOQUE!$A$4:$A$19, CONTROLE_ESTOQUE!$F$4:$F$19, 0)</f>
        <v>0</v>
      </c>
    </row>
    <row r="125" spans="6:6" hidden="1" x14ac:dyDescent="0.3">
      <c r="F125" s="1">
        <f>_xlfn.XLOOKUP(E125, CONTROLE_ESTOQUE!$A$4:$A$19, CONTROLE_ESTOQUE!$F$4:$F$19, 0)</f>
        <v>0</v>
      </c>
    </row>
    <row r="126" spans="6:6" hidden="1" x14ac:dyDescent="0.3">
      <c r="F126" s="1">
        <f>_xlfn.XLOOKUP(E126, CONTROLE_ESTOQUE!$A$4:$A$19, CONTROLE_ESTOQUE!$F$4:$F$19, 0)</f>
        <v>0</v>
      </c>
    </row>
    <row r="127" spans="6:6" hidden="1" x14ac:dyDescent="0.3">
      <c r="F127" s="1">
        <f>_xlfn.XLOOKUP(E127, CONTROLE_ESTOQUE!$A$4:$A$19, CONTROLE_ESTOQUE!$F$4:$F$19, 0)</f>
        <v>0</v>
      </c>
    </row>
    <row r="128" spans="6:6" hidden="1" x14ac:dyDescent="0.3">
      <c r="F128" s="1">
        <f>_xlfn.XLOOKUP(E128, CONTROLE_ESTOQUE!$A$4:$A$19, CONTROLE_ESTOQUE!$F$4:$F$19, 0)</f>
        <v>0</v>
      </c>
    </row>
    <row r="129" spans="6:6" hidden="1" x14ac:dyDescent="0.3">
      <c r="F129" s="1">
        <f>_xlfn.XLOOKUP(E129, CONTROLE_ESTOQUE!$A$4:$A$19, CONTROLE_ESTOQUE!$F$4:$F$19, 0)</f>
        <v>0</v>
      </c>
    </row>
    <row r="130" spans="6:6" hidden="1" x14ac:dyDescent="0.3">
      <c r="F130" s="1">
        <f>_xlfn.XLOOKUP(E130, CONTROLE_ESTOQUE!$A$4:$A$19, CONTROLE_ESTOQUE!$F$4:$F$19, 0)</f>
        <v>0</v>
      </c>
    </row>
    <row r="131" spans="6:6" hidden="1" x14ac:dyDescent="0.3">
      <c r="F131" s="1">
        <f>_xlfn.XLOOKUP(E131, CONTROLE_ESTOQUE!$A$4:$A$19, CONTROLE_ESTOQUE!$F$4:$F$19, 0)</f>
        <v>0</v>
      </c>
    </row>
    <row r="132" spans="6:6" hidden="1" x14ac:dyDescent="0.3">
      <c r="F132" s="1">
        <f>_xlfn.XLOOKUP(E132, CONTROLE_ESTOQUE!$A$4:$A$19, CONTROLE_ESTOQUE!$F$4:$F$19, 0)</f>
        <v>0</v>
      </c>
    </row>
    <row r="133" spans="6:6" hidden="1" x14ac:dyDescent="0.3">
      <c r="F133" s="1">
        <f>_xlfn.XLOOKUP(E133, CONTROLE_ESTOQUE!$A$4:$A$19, CONTROLE_ESTOQUE!$F$4:$F$19, 0)</f>
        <v>0</v>
      </c>
    </row>
    <row r="134" spans="6:6" hidden="1" x14ac:dyDescent="0.3">
      <c r="F134" s="1">
        <f>_xlfn.XLOOKUP(E134, CONTROLE_ESTOQUE!$A$4:$A$19, CONTROLE_ESTOQUE!$F$4:$F$19, 0)</f>
        <v>0</v>
      </c>
    </row>
    <row r="135" spans="6:6" hidden="1" x14ac:dyDescent="0.3">
      <c r="F135" s="1">
        <f>_xlfn.XLOOKUP(E135, CONTROLE_ESTOQUE!$A$4:$A$19, CONTROLE_ESTOQUE!$F$4:$F$19, 0)</f>
        <v>0</v>
      </c>
    </row>
    <row r="136" spans="6:6" hidden="1" x14ac:dyDescent="0.3">
      <c r="F136" s="1">
        <f>_xlfn.XLOOKUP(E136, CONTROLE_ESTOQUE!$A$4:$A$19, CONTROLE_ESTOQUE!$F$4:$F$19, 0)</f>
        <v>0</v>
      </c>
    </row>
    <row r="137" spans="6:6" hidden="1" x14ac:dyDescent="0.3">
      <c r="F137" s="1">
        <f>_xlfn.XLOOKUP(E137, CONTROLE_ESTOQUE!$A$4:$A$19, CONTROLE_ESTOQUE!$F$4:$F$19, 0)</f>
        <v>0</v>
      </c>
    </row>
    <row r="138" spans="6:6" hidden="1" x14ac:dyDescent="0.3">
      <c r="F138" s="1">
        <f>_xlfn.XLOOKUP(E138, CONTROLE_ESTOQUE!$A$4:$A$19, CONTROLE_ESTOQUE!$F$4:$F$19, 0)</f>
        <v>0</v>
      </c>
    </row>
    <row r="139" spans="6:6" hidden="1" x14ac:dyDescent="0.3">
      <c r="F139" s="1">
        <f>_xlfn.XLOOKUP(E139, CONTROLE_ESTOQUE!$A$4:$A$19, CONTROLE_ESTOQUE!$F$4:$F$19, 0)</f>
        <v>0</v>
      </c>
    </row>
    <row r="140" spans="6:6" hidden="1" x14ac:dyDescent="0.3">
      <c r="F140" s="1">
        <f>_xlfn.XLOOKUP(E140, CONTROLE_ESTOQUE!$A$4:$A$19, CONTROLE_ESTOQUE!$F$4:$F$19, 0)</f>
        <v>0</v>
      </c>
    </row>
    <row r="141" spans="6:6" hidden="1" x14ac:dyDescent="0.3">
      <c r="F141" s="1">
        <f>_xlfn.XLOOKUP(E141, CONTROLE_ESTOQUE!$A$4:$A$19, CONTROLE_ESTOQUE!$F$4:$F$19, 0)</f>
        <v>0</v>
      </c>
    </row>
    <row r="142" spans="6:6" hidden="1" x14ac:dyDescent="0.3">
      <c r="F142" s="1">
        <f>_xlfn.XLOOKUP(E142, CONTROLE_ESTOQUE!$A$4:$A$19, CONTROLE_ESTOQUE!$F$4:$F$19, 0)</f>
        <v>0</v>
      </c>
    </row>
    <row r="143" spans="6:6" hidden="1" x14ac:dyDescent="0.3">
      <c r="F143" s="1">
        <f>_xlfn.XLOOKUP(E143, CONTROLE_ESTOQUE!$A$4:$A$19, CONTROLE_ESTOQUE!$F$4:$F$19, 0)</f>
        <v>0</v>
      </c>
    </row>
    <row r="144" spans="6:6" hidden="1" x14ac:dyDescent="0.3">
      <c r="F144" s="1">
        <f>_xlfn.XLOOKUP(E144, CONTROLE_ESTOQUE!$A$4:$A$19, CONTROLE_ESTOQUE!$F$4:$F$19, 0)</f>
        <v>0</v>
      </c>
    </row>
    <row r="145" spans="6:6" hidden="1" x14ac:dyDescent="0.3">
      <c r="F145" s="1">
        <f>_xlfn.XLOOKUP(E145, CONTROLE_ESTOQUE!$A$4:$A$19, CONTROLE_ESTOQUE!$F$4:$F$19, 0)</f>
        <v>0</v>
      </c>
    </row>
    <row r="146" spans="6:6" hidden="1" x14ac:dyDescent="0.3">
      <c r="F146" s="1">
        <f>_xlfn.XLOOKUP(E146, CONTROLE_ESTOQUE!$A$4:$A$19, CONTROLE_ESTOQUE!$F$4:$F$19, 0)</f>
        <v>0</v>
      </c>
    </row>
    <row r="147" spans="6:6" hidden="1" x14ac:dyDescent="0.3">
      <c r="F147" s="1">
        <f>_xlfn.XLOOKUP(E147, CONTROLE_ESTOQUE!$A$4:$A$19, CONTROLE_ESTOQUE!$F$4:$F$19, 0)</f>
        <v>0</v>
      </c>
    </row>
    <row r="148" spans="6:6" hidden="1" x14ac:dyDescent="0.3">
      <c r="F148" s="1">
        <f>_xlfn.XLOOKUP(E148, CONTROLE_ESTOQUE!$A$4:$A$19, CONTROLE_ESTOQUE!$F$4:$F$19, 0)</f>
        <v>0</v>
      </c>
    </row>
    <row r="149" spans="6:6" hidden="1" x14ac:dyDescent="0.3">
      <c r="F149" s="1">
        <f>_xlfn.XLOOKUP(E149, CONTROLE_ESTOQUE!$A$4:$A$19, CONTROLE_ESTOQUE!$F$4:$F$19, 0)</f>
        <v>0</v>
      </c>
    </row>
    <row r="150" spans="6:6" hidden="1" x14ac:dyDescent="0.3">
      <c r="F150" s="1">
        <f>_xlfn.XLOOKUP(E150, CONTROLE_ESTOQUE!$A$4:$A$19, CONTROLE_ESTOQUE!$F$4:$F$19, 0)</f>
        <v>0</v>
      </c>
    </row>
    <row r="151" spans="6:6" hidden="1" x14ac:dyDescent="0.3">
      <c r="F151" s="1">
        <f>_xlfn.XLOOKUP(E151, CONTROLE_ESTOQUE!$A$4:$A$19, CONTROLE_ESTOQUE!$F$4:$F$19, 0)</f>
        <v>0</v>
      </c>
    </row>
    <row r="152" spans="6:6" hidden="1" x14ac:dyDescent="0.3">
      <c r="F152" s="1">
        <f>_xlfn.XLOOKUP(E152, CONTROLE_ESTOQUE!$A$4:$A$19, CONTROLE_ESTOQUE!$F$4:$F$19, 0)</f>
        <v>0</v>
      </c>
    </row>
    <row r="153" spans="6:6" hidden="1" x14ac:dyDescent="0.3">
      <c r="F153" s="1">
        <f>_xlfn.XLOOKUP(E153, CONTROLE_ESTOQUE!$A$4:$A$19, CONTROLE_ESTOQUE!$F$4:$F$19, 0)</f>
        <v>0</v>
      </c>
    </row>
    <row r="154" spans="6:6" hidden="1" x14ac:dyDescent="0.3">
      <c r="F154" s="1">
        <f>_xlfn.XLOOKUP(E154, CONTROLE_ESTOQUE!$A$4:$A$19, CONTROLE_ESTOQUE!$F$4:$F$19, 0)</f>
        <v>0</v>
      </c>
    </row>
    <row r="155" spans="6:6" hidden="1" x14ac:dyDescent="0.3">
      <c r="F155" s="1">
        <f>_xlfn.XLOOKUP(E155, CONTROLE_ESTOQUE!$A$4:$A$19, CONTROLE_ESTOQUE!$F$4:$F$19, 0)</f>
        <v>0</v>
      </c>
    </row>
    <row r="156" spans="6:6" hidden="1" x14ac:dyDescent="0.3">
      <c r="F156" s="1">
        <f>_xlfn.XLOOKUP(E156, CONTROLE_ESTOQUE!$A$4:$A$19, CONTROLE_ESTOQUE!$F$4:$F$19, 0)</f>
        <v>0</v>
      </c>
    </row>
    <row r="157" spans="6:6" hidden="1" x14ac:dyDescent="0.3">
      <c r="F157" s="1">
        <f>_xlfn.XLOOKUP(E157, CONTROLE_ESTOQUE!$A$4:$A$19, CONTROLE_ESTOQUE!$F$4:$F$19, 0)</f>
        <v>0</v>
      </c>
    </row>
    <row r="158" spans="6:6" hidden="1" x14ac:dyDescent="0.3">
      <c r="F158" s="1">
        <f>_xlfn.XLOOKUP(E158, CONTROLE_ESTOQUE!$A$4:$A$19, CONTROLE_ESTOQUE!$F$4:$F$19, 0)</f>
        <v>0</v>
      </c>
    </row>
    <row r="159" spans="6:6" hidden="1" x14ac:dyDescent="0.3">
      <c r="F159" s="1">
        <f>_xlfn.XLOOKUP(E159, CONTROLE_ESTOQUE!$A$4:$A$19, CONTROLE_ESTOQUE!$F$4:$F$19, 0)</f>
        <v>0</v>
      </c>
    </row>
    <row r="160" spans="6:6" hidden="1" x14ac:dyDescent="0.3">
      <c r="F160" s="1">
        <f>_xlfn.XLOOKUP(E160, CONTROLE_ESTOQUE!$A$4:$A$19, CONTROLE_ESTOQUE!$F$4:$F$19, 0)</f>
        <v>0</v>
      </c>
    </row>
    <row r="161" spans="6:6" hidden="1" x14ac:dyDescent="0.3">
      <c r="F161" s="1">
        <f>_xlfn.XLOOKUP(E161, CONTROLE_ESTOQUE!$A$4:$A$19, CONTROLE_ESTOQUE!$F$4:$F$19, 0)</f>
        <v>0</v>
      </c>
    </row>
    <row r="162" spans="6:6" hidden="1" x14ac:dyDescent="0.3">
      <c r="F162" s="1">
        <f>_xlfn.XLOOKUP(E162, CONTROLE_ESTOQUE!$A$4:$A$19, CONTROLE_ESTOQUE!$F$4:$F$19, 0)</f>
        <v>0</v>
      </c>
    </row>
    <row r="163" spans="6:6" hidden="1" x14ac:dyDescent="0.3">
      <c r="F163" s="1">
        <f>_xlfn.XLOOKUP(E163, CONTROLE_ESTOQUE!$A$4:$A$19, CONTROLE_ESTOQUE!$F$4:$F$19, 0)</f>
        <v>0</v>
      </c>
    </row>
    <row r="164" spans="6:6" hidden="1" x14ac:dyDescent="0.3">
      <c r="F164" s="1">
        <f>_xlfn.XLOOKUP(E164, CONTROLE_ESTOQUE!$A$4:$A$19, CONTROLE_ESTOQUE!$F$4:$F$19, 0)</f>
        <v>0</v>
      </c>
    </row>
    <row r="165" spans="6:6" hidden="1" x14ac:dyDescent="0.3">
      <c r="F165" s="1">
        <f>_xlfn.XLOOKUP(E165, CONTROLE_ESTOQUE!$A$4:$A$19, CONTROLE_ESTOQUE!$F$4:$F$19, 0)</f>
        <v>0</v>
      </c>
    </row>
    <row r="166" spans="6:6" hidden="1" x14ac:dyDescent="0.3">
      <c r="F166" s="1">
        <f>_xlfn.XLOOKUP(E166, CONTROLE_ESTOQUE!$A$4:$A$19, CONTROLE_ESTOQUE!$F$4:$F$19, 0)</f>
        <v>0</v>
      </c>
    </row>
    <row r="167" spans="6:6" hidden="1" x14ac:dyDescent="0.3">
      <c r="F167" s="1">
        <f>_xlfn.XLOOKUP(E167, CONTROLE_ESTOQUE!$A$4:$A$19, CONTROLE_ESTOQUE!$F$4:$F$19, 0)</f>
        <v>0</v>
      </c>
    </row>
    <row r="168" spans="6:6" hidden="1" x14ac:dyDescent="0.3">
      <c r="F168" s="1">
        <f>_xlfn.XLOOKUP(E168, CONTROLE_ESTOQUE!$A$4:$A$19, CONTROLE_ESTOQUE!$F$4:$F$19, 0)</f>
        <v>0</v>
      </c>
    </row>
    <row r="169" spans="6:6" hidden="1" x14ac:dyDescent="0.3">
      <c r="F169" s="1">
        <f>_xlfn.XLOOKUP(E169, CONTROLE_ESTOQUE!$A$4:$A$19, CONTROLE_ESTOQUE!$F$4:$F$19, 0)</f>
        <v>0</v>
      </c>
    </row>
    <row r="170" spans="6:6" hidden="1" x14ac:dyDescent="0.3">
      <c r="F170" s="1">
        <f>_xlfn.XLOOKUP(E170, CONTROLE_ESTOQUE!$A$4:$A$19, CONTROLE_ESTOQUE!$F$4:$F$19, 0)</f>
        <v>0</v>
      </c>
    </row>
    <row r="171" spans="6:6" hidden="1" x14ac:dyDescent="0.3">
      <c r="F171" s="1">
        <f>_xlfn.XLOOKUP(E171, CONTROLE_ESTOQUE!$A$4:$A$19, CONTROLE_ESTOQUE!$F$4:$F$19, 0)</f>
        <v>0</v>
      </c>
    </row>
    <row r="172" spans="6:6" hidden="1" x14ac:dyDescent="0.3">
      <c r="F172" s="1">
        <f>_xlfn.XLOOKUP(E172, CONTROLE_ESTOQUE!$A$4:$A$19, CONTROLE_ESTOQUE!$F$4:$F$19, 0)</f>
        <v>0</v>
      </c>
    </row>
    <row r="173" spans="6:6" hidden="1" x14ac:dyDescent="0.3">
      <c r="F173" s="1">
        <f>_xlfn.XLOOKUP(E173, CONTROLE_ESTOQUE!$A$4:$A$19, CONTROLE_ESTOQUE!$F$4:$F$19, 0)</f>
        <v>0</v>
      </c>
    </row>
    <row r="174" spans="6:6" hidden="1" x14ac:dyDescent="0.3">
      <c r="F174" s="1">
        <f>_xlfn.XLOOKUP(E174, CONTROLE_ESTOQUE!$A$4:$A$19, CONTROLE_ESTOQUE!$F$4:$F$19, 0)</f>
        <v>0</v>
      </c>
    </row>
    <row r="175" spans="6:6" hidden="1" x14ac:dyDescent="0.3">
      <c r="F175" s="1">
        <f>_xlfn.XLOOKUP(E175, CONTROLE_ESTOQUE!$A$4:$A$19, CONTROLE_ESTOQUE!$F$4:$F$19, 0)</f>
        <v>0</v>
      </c>
    </row>
    <row r="176" spans="6:6" hidden="1" x14ac:dyDescent="0.3">
      <c r="F176" s="1">
        <f>_xlfn.XLOOKUP(E176, CONTROLE_ESTOQUE!$A$4:$A$19, CONTROLE_ESTOQUE!$F$4:$F$19, 0)</f>
        <v>0</v>
      </c>
    </row>
    <row r="177" spans="6:6" hidden="1" x14ac:dyDescent="0.3">
      <c r="F177" s="1">
        <f>_xlfn.XLOOKUP(E177, CONTROLE_ESTOQUE!$A$4:$A$19, CONTROLE_ESTOQUE!$F$4:$F$19, 0)</f>
        <v>0</v>
      </c>
    </row>
    <row r="178" spans="6:6" hidden="1" x14ac:dyDescent="0.3">
      <c r="F178" s="1">
        <f>_xlfn.XLOOKUP(E178, CONTROLE_ESTOQUE!$A$4:$A$19, CONTROLE_ESTOQUE!$F$4:$F$19, 0)</f>
        <v>0</v>
      </c>
    </row>
    <row r="179" spans="6:6" hidden="1" x14ac:dyDescent="0.3">
      <c r="F179" s="1">
        <f>_xlfn.XLOOKUP(E179, CONTROLE_ESTOQUE!$A$4:$A$19, CONTROLE_ESTOQUE!$F$4:$F$19, 0)</f>
        <v>0</v>
      </c>
    </row>
    <row r="180" spans="6:6" hidden="1" x14ac:dyDescent="0.3">
      <c r="F180" s="1">
        <f>_xlfn.XLOOKUP(E180, CONTROLE_ESTOQUE!$A$4:$A$19, CONTROLE_ESTOQUE!$F$4:$F$19, 0)</f>
        <v>0</v>
      </c>
    </row>
    <row r="181" spans="6:6" hidden="1" x14ac:dyDescent="0.3">
      <c r="F181" s="1">
        <f>_xlfn.XLOOKUP(E181, CONTROLE_ESTOQUE!$A$4:$A$19, CONTROLE_ESTOQUE!$F$4:$F$19, 0)</f>
        <v>0</v>
      </c>
    </row>
    <row r="182" spans="6:6" hidden="1" x14ac:dyDescent="0.3">
      <c r="F182" s="1">
        <f>_xlfn.XLOOKUP(E182, CONTROLE_ESTOQUE!$A$4:$A$19, CONTROLE_ESTOQUE!$F$4:$F$19, 0)</f>
        <v>0</v>
      </c>
    </row>
    <row r="183" spans="6:6" hidden="1" x14ac:dyDescent="0.3">
      <c r="F183" s="1">
        <f>_xlfn.XLOOKUP(E183, CONTROLE_ESTOQUE!$A$4:$A$19, CONTROLE_ESTOQUE!$F$4:$F$19, 0)</f>
        <v>0</v>
      </c>
    </row>
    <row r="184" spans="6:6" hidden="1" x14ac:dyDescent="0.3">
      <c r="F184" s="1">
        <f>_xlfn.XLOOKUP(E184, CONTROLE_ESTOQUE!$A$4:$A$19, CONTROLE_ESTOQUE!$F$4:$F$19, 0)</f>
        <v>0</v>
      </c>
    </row>
    <row r="185" spans="6:6" hidden="1" x14ac:dyDescent="0.3">
      <c r="F185" s="1">
        <f>_xlfn.XLOOKUP(E185, CONTROLE_ESTOQUE!$A$4:$A$19, CONTROLE_ESTOQUE!$F$4:$F$19, 0)</f>
        <v>0</v>
      </c>
    </row>
    <row r="186" spans="6:6" hidden="1" x14ac:dyDescent="0.3">
      <c r="F186" s="1">
        <f>_xlfn.XLOOKUP(E186, CONTROLE_ESTOQUE!$A$4:$A$19, CONTROLE_ESTOQUE!$F$4:$F$19, 0)</f>
        <v>0</v>
      </c>
    </row>
    <row r="187" spans="6:6" hidden="1" x14ac:dyDescent="0.3">
      <c r="F187" s="1">
        <f>_xlfn.XLOOKUP(E187, CONTROLE_ESTOQUE!$A$4:$A$19, CONTROLE_ESTOQUE!$F$4:$F$19, 0)</f>
        <v>0</v>
      </c>
    </row>
    <row r="188" spans="6:6" hidden="1" x14ac:dyDescent="0.3">
      <c r="F188" s="1">
        <f>_xlfn.XLOOKUP(E188, CONTROLE_ESTOQUE!$A$4:$A$19, CONTROLE_ESTOQUE!$F$4:$F$19, 0)</f>
        <v>0</v>
      </c>
    </row>
    <row r="189" spans="6:6" hidden="1" x14ac:dyDescent="0.3">
      <c r="F189" s="1">
        <f>_xlfn.XLOOKUP(E189, CONTROLE_ESTOQUE!$A$4:$A$19, CONTROLE_ESTOQUE!$F$4:$F$19, 0)</f>
        <v>0</v>
      </c>
    </row>
    <row r="190" spans="6:6" hidden="1" x14ac:dyDescent="0.3">
      <c r="F190" s="1">
        <f>_xlfn.XLOOKUP(E190, CONTROLE_ESTOQUE!$A$4:$A$19, CONTROLE_ESTOQUE!$F$4:$F$19, 0)</f>
        <v>0</v>
      </c>
    </row>
    <row r="191" spans="6:6" hidden="1" x14ac:dyDescent="0.3">
      <c r="F191" s="1">
        <f>_xlfn.XLOOKUP(E191, CONTROLE_ESTOQUE!$A$4:$A$19, CONTROLE_ESTOQUE!$F$4:$F$19, 0)</f>
        <v>0</v>
      </c>
    </row>
    <row r="192" spans="6:6" hidden="1" x14ac:dyDescent="0.3">
      <c r="F192" s="1">
        <f>_xlfn.XLOOKUP(E192, CONTROLE_ESTOQUE!$A$4:$A$19, CONTROLE_ESTOQUE!$F$4:$F$19, 0)</f>
        <v>0</v>
      </c>
    </row>
    <row r="193" spans="6:6" hidden="1" x14ac:dyDescent="0.3">
      <c r="F193" s="1">
        <f>_xlfn.XLOOKUP(E193, CONTROLE_ESTOQUE!$A$4:$A$19, CONTROLE_ESTOQUE!$F$4:$F$19, 0)</f>
        <v>0</v>
      </c>
    </row>
    <row r="194" spans="6:6" hidden="1" x14ac:dyDescent="0.3">
      <c r="F194" s="1">
        <f>_xlfn.XLOOKUP(E194, CONTROLE_ESTOQUE!$A$4:$A$19, CONTROLE_ESTOQUE!$F$4:$F$19, 0)</f>
        <v>0</v>
      </c>
    </row>
    <row r="195" spans="6:6" hidden="1" x14ac:dyDescent="0.3">
      <c r="F195" s="1">
        <f>_xlfn.XLOOKUP(E195, CONTROLE_ESTOQUE!$A$4:$A$19, CONTROLE_ESTOQUE!$F$4:$F$19, 0)</f>
        <v>0</v>
      </c>
    </row>
    <row r="196" spans="6:6" hidden="1" x14ac:dyDescent="0.3">
      <c r="F196" s="1">
        <f>_xlfn.XLOOKUP(E196, CONTROLE_ESTOQUE!$A$4:$A$19, CONTROLE_ESTOQUE!$F$4:$F$19, 0)</f>
        <v>0</v>
      </c>
    </row>
    <row r="197" spans="6:6" hidden="1" x14ac:dyDescent="0.3">
      <c r="F197" s="1">
        <f>_xlfn.XLOOKUP(E197, CONTROLE_ESTOQUE!$A$4:$A$19, CONTROLE_ESTOQUE!$F$4:$F$19, 0)</f>
        <v>0</v>
      </c>
    </row>
    <row r="198" spans="6:6" hidden="1" x14ac:dyDescent="0.3">
      <c r="F198" s="1">
        <f>_xlfn.XLOOKUP(E198, CONTROLE_ESTOQUE!$A$4:$A$19, CONTROLE_ESTOQUE!$F$4:$F$19, 0)</f>
        <v>0</v>
      </c>
    </row>
    <row r="199" spans="6:6" hidden="1" x14ac:dyDescent="0.3">
      <c r="F199" s="1">
        <f>_xlfn.XLOOKUP(E199, CONTROLE_ESTOQUE!$A$4:$A$19, CONTROLE_ESTOQUE!$F$4:$F$19, 0)</f>
        <v>0</v>
      </c>
    </row>
    <row r="200" spans="6:6" hidden="1" x14ac:dyDescent="0.3">
      <c r="F200" s="1">
        <f>_xlfn.XLOOKUP(E200, CONTROLE_ESTOQUE!$A$4:$A$19, CONTROLE_ESTOQUE!$F$4:$F$19, 0)</f>
        <v>0</v>
      </c>
    </row>
    <row r="201" spans="6:6" hidden="1" x14ac:dyDescent="0.3">
      <c r="F201" s="1">
        <f>_xlfn.XLOOKUP(E201, CONTROLE_ESTOQUE!$A$4:$A$19, CONTROLE_ESTOQUE!$F$4:$F$19, 0)</f>
        <v>0</v>
      </c>
    </row>
    <row r="202" spans="6:6" hidden="1" x14ac:dyDescent="0.3">
      <c r="F202" s="1">
        <f>_xlfn.XLOOKUP(E202, CONTROLE_ESTOQUE!$A$4:$A$19, CONTROLE_ESTOQUE!$F$4:$F$19, 0)</f>
        <v>0</v>
      </c>
    </row>
    <row r="203" spans="6:6" hidden="1" x14ac:dyDescent="0.3">
      <c r="F203" s="1">
        <f>_xlfn.XLOOKUP(E203, CONTROLE_ESTOQUE!$A$4:$A$19, CONTROLE_ESTOQUE!$F$4:$F$19, 0)</f>
        <v>0</v>
      </c>
    </row>
    <row r="204" spans="6:6" hidden="1" x14ac:dyDescent="0.3">
      <c r="F204" s="1">
        <f>_xlfn.XLOOKUP(E204, CONTROLE_ESTOQUE!$A$4:$A$19, CONTROLE_ESTOQUE!$F$4:$F$19, 0)</f>
        <v>0</v>
      </c>
    </row>
    <row r="205" spans="6:6" hidden="1" x14ac:dyDescent="0.3">
      <c r="F205" s="1">
        <f>_xlfn.XLOOKUP(E205, CONTROLE_ESTOQUE!$A$4:$A$19, CONTROLE_ESTOQUE!$F$4:$F$19, 0)</f>
        <v>0</v>
      </c>
    </row>
    <row r="206" spans="6:6" hidden="1" x14ac:dyDescent="0.3">
      <c r="F206" s="1">
        <f>_xlfn.XLOOKUP(E206, CONTROLE_ESTOQUE!$A$4:$A$19, CONTROLE_ESTOQUE!$F$4:$F$19, 0)</f>
        <v>0</v>
      </c>
    </row>
    <row r="207" spans="6:6" hidden="1" x14ac:dyDescent="0.3">
      <c r="F207" s="1">
        <f>_xlfn.XLOOKUP(E207, CONTROLE_ESTOQUE!$A$4:$A$19, CONTROLE_ESTOQUE!$F$4:$F$19, 0)</f>
        <v>0</v>
      </c>
    </row>
    <row r="208" spans="6:6" hidden="1" x14ac:dyDescent="0.3">
      <c r="F208" s="1">
        <f>_xlfn.XLOOKUP(E208, CONTROLE_ESTOQUE!$A$4:$A$19, CONTROLE_ESTOQUE!$F$4:$F$19, 0)</f>
        <v>0</v>
      </c>
    </row>
    <row r="209" spans="6:6" hidden="1" x14ac:dyDescent="0.3">
      <c r="F209" s="1">
        <f>_xlfn.XLOOKUP(E209, CONTROLE_ESTOQUE!$A$4:$A$19, CONTROLE_ESTOQUE!$F$4:$F$19, 0)</f>
        <v>0</v>
      </c>
    </row>
    <row r="210" spans="6:6" hidden="1" x14ac:dyDescent="0.3">
      <c r="F210" s="1">
        <f>_xlfn.XLOOKUP(E210, CONTROLE_ESTOQUE!$A$4:$A$19, CONTROLE_ESTOQUE!$F$4:$F$19, 0)</f>
        <v>0</v>
      </c>
    </row>
    <row r="211" spans="6:6" hidden="1" x14ac:dyDescent="0.3">
      <c r="F211" s="1">
        <f>_xlfn.XLOOKUP(E211, CONTROLE_ESTOQUE!$A$4:$A$19, CONTROLE_ESTOQUE!$F$4:$F$19, 0)</f>
        <v>0</v>
      </c>
    </row>
    <row r="212" spans="6:6" hidden="1" x14ac:dyDescent="0.3">
      <c r="F212" s="1">
        <f>_xlfn.XLOOKUP(E212, CONTROLE_ESTOQUE!$A$4:$A$19, CONTROLE_ESTOQUE!$F$4:$F$19, 0)</f>
        <v>0</v>
      </c>
    </row>
    <row r="213" spans="6:6" hidden="1" x14ac:dyDescent="0.3">
      <c r="F213" s="1">
        <f>_xlfn.XLOOKUP(E213, CONTROLE_ESTOQUE!$A$4:$A$19, CONTROLE_ESTOQUE!$F$4:$F$19, 0)</f>
        <v>0</v>
      </c>
    </row>
    <row r="214" spans="6:6" hidden="1" x14ac:dyDescent="0.3">
      <c r="F214" s="1">
        <f>_xlfn.XLOOKUP(E214, CONTROLE_ESTOQUE!$A$4:$A$19, CONTROLE_ESTOQUE!$F$4:$F$19, 0)</f>
        <v>0</v>
      </c>
    </row>
    <row r="215" spans="6:6" hidden="1" x14ac:dyDescent="0.3">
      <c r="F215" s="1">
        <f>_xlfn.XLOOKUP(E215, CONTROLE_ESTOQUE!$A$4:$A$19, CONTROLE_ESTOQUE!$F$4:$F$19, 0)</f>
        <v>0</v>
      </c>
    </row>
    <row r="216" spans="6:6" hidden="1" x14ac:dyDescent="0.3">
      <c r="F216" s="1">
        <f>_xlfn.XLOOKUP(E216, CONTROLE_ESTOQUE!$A$4:$A$19, CONTROLE_ESTOQUE!$F$4:$F$19, 0)</f>
        <v>0</v>
      </c>
    </row>
    <row r="217" spans="6:6" hidden="1" x14ac:dyDescent="0.3">
      <c r="F217" s="1">
        <f>_xlfn.XLOOKUP(E217, CONTROLE_ESTOQUE!$A$4:$A$19, CONTROLE_ESTOQUE!$F$4:$F$19, 0)</f>
        <v>0</v>
      </c>
    </row>
    <row r="218" spans="6:6" hidden="1" x14ac:dyDescent="0.3">
      <c r="F218" s="1">
        <f>_xlfn.XLOOKUP(E218, CONTROLE_ESTOQUE!$A$4:$A$19, CONTROLE_ESTOQUE!$F$4:$F$19, 0)</f>
        <v>0</v>
      </c>
    </row>
    <row r="219" spans="6:6" hidden="1" x14ac:dyDescent="0.3">
      <c r="F219" s="1">
        <f>_xlfn.XLOOKUP(E219, CONTROLE_ESTOQUE!$A$4:$A$19, CONTROLE_ESTOQUE!$F$4:$F$19, 0)</f>
        <v>0</v>
      </c>
    </row>
    <row r="220" spans="6:6" hidden="1" x14ac:dyDescent="0.3">
      <c r="F220" s="1">
        <f>_xlfn.XLOOKUP(E220, CONTROLE_ESTOQUE!$A$4:$A$19, CONTROLE_ESTOQUE!$F$4:$F$19, 0)</f>
        <v>0</v>
      </c>
    </row>
    <row r="221" spans="6:6" hidden="1" x14ac:dyDescent="0.3">
      <c r="F221" s="1">
        <f>_xlfn.XLOOKUP(E221, CONTROLE_ESTOQUE!$A$4:$A$19, CONTROLE_ESTOQUE!$F$4:$F$19, 0)</f>
        <v>0</v>
      </c>
    </row>
    <row r="222" spans="6:6" hidden="1" x14ac:dyDescent="0.3">
      <c r="F222" s="1">
        <f>_xlfn.XLOOKUP(E222, CONTROLE_ESTOQUE!$A$4:$A$19, CONTROLE_ESTOQUE!$F$4:$F$19, 0)</f>
        <v>0</v>
      </c>
    </row>
    <row r="223" spans="6:6" hidden="1" x14ac:dyDescent="0.3">
      <c r="F223" s="1">
        <f>_xlfn.XLOOKUP(E223, CONTROLE_ESTOQUE!$A$4:$A$19, CONTROLE_ESTOQUE!$F$4:$F$19, 0)</f>
        <v>0</v>
      </c>
    </row>
    <row r="224" spans="6:6" hidden="1" x14ac:dyDescent="0.3">
      <c r="F224" s="1">
        <f>_xlfn.XLOOKUP(E224, CONTROLE_ESTOQUE!$A$4:$A$19, CONTROLE_ESTOQUE!$F$4:$F$19, 0)</f>
        <v>0</v>
      </c>
    </row>
    <row r="225" spans="6:6" hidden="1" x14ac:dyDescent="0.3">
      <c r="F225" s="1">
        <f>_xlfn.XLOOKUP(E225, CONTROLE_ESTOQUE!$A$4:$A$19, CONTROLE_ESTOQUE!$F$4:$F$19, 0)</f>
        <v>0</v>
      </c>
    </row>
    <row r="226" spans="6:6" hidden="1" x14ac:dyDescent="0.3">
      <c r="F226" s="1">
        <f>_xlfn.XLOOKUP(E226, CONTROLE_ESTOQUE!$A$4:$A$19, CONTROLE_ESTOQUE!$F$4:$F$19, 0)</f>
        <v>0</v>
      </c>
    </row>
    <row r="227" spans="6:6" hidden="1" x14ac:dyDescent="0.3">
      <c r="F227" s="1">
        <f>_xlfn.XLOOKUP(E227, CONTROLE_ESTOQUE!$A$4:$A$19, CONTROLE_ESTOQUE!$F$4:$F$19, 0)</f>
        <v>0</v>
      </c>
    </row>
    <row r="228" spans="6:6" hidden="1" x14ac:dyDescent="0.3">
      <c r="F228" s="1">
        <f>_xlfn.XLOOKUP(E228, CONTROLE_ESTOQUE!$A$4:$A$19, CONTROLE_ESTOQUE!$F$4:$F$19, 0)</f>
        <v>0</v>
      </c>
    </row>
    <row r="229" spans="6:6" hidden="1" x14ac:dyDescent="0.3">
      <c r="F229" s="1">
        <f>_xlfn.XLOOKUP(E229, CONTROLE_ESTOQUE!$A$4:$A$19, CONTROLE_ESTOQUE!$F$4:$F$19, 0)</f>
        <v>0</v>
      </c>
    </row>
    <row r="230" spans="6:6" hidden="1" x14ac:dyDescent="0.3">
      <c r="F230" s="1">
        <f>_xlfn.XLOOKUP(E230, CONTROLE_ESTOQUE!$A$4:$A$19, CONTROLE_ESTOQUE!$F$4:$F$19, 0)</f>
        <v>0</v>
      </c>
    </row>
    <row r="231" spans="6:6" hidden="1" x14ac:dyDescent="0.3">
      <c r="F231" s="1">
        <f>_xlfn.XLOOKUP(E231, CONTROLE_ESTOQUE!$A$4:$A$19, CONTROLE_ESTOQUE!$F$4:$F$19, 0)</f>
        <v>0</v>
      </c>
    </row>
    <row r="232" spans="6:6" hidden="1" x14ac:dyDescent="0.3">
      <c r="F232" s="1">
        <f>_xlfn.XLOOKUP(E232, CONTROLE_ESTOQUE!$A$4:$A$19, CONTROLE_ESTOQUE!$F$4:$F$19, 0)</f>
        <v>0</v>
      </c>
    </row>
    <row r="233" spans="6:6" hidden="1" x14ac:dyDescent="0.3">
      <c r="F233" s="1">
        <f>_xlfn.XLOOKUP(E233, CONTROLE_ESTOQUE!$A$4:$A$19, CONTROLE_ESTOQUE!$F$4:$F$19, 0)</f>
        <v>0</v>
      </c>
    </row>
    <row r="234" spans="6:6" hidden="1" x14ac:dyDescent="0.3">
      <c r="F234" s="1">
        <f>_xlfn.XLOOKUP(E234, CONTROLE_ESTOQUE!$A$4:$A$19, CONTROLE_ESTOQUE!$F$4:$F$19, 0)</f>
        <v>0</v>
      </c>
    </row>
    <row r="235" spans="6:6" hidden="1" x14ac:dyDescent="0.3">
      <c r="F235" s="1">
        <f>_xlfn.XLOOKUP(E235, CONTROLE_ESTOQUE!$A$4:$A$19, CONTROLE_ESTOQUE!$F$4:$F$19, 0)</f>
        <v>0</v>
      </c>
    </row>
    <row r="236" spans="6:6" hidden="1" x14ac:dyDescent="0.3">
      <c r="F236" s="1">
        <f>_xlfn.XLOOKUP(E236, CONTROLE_ESTOQUE!$A$4:$A$19, CONTROLE_ESTOQUE!$F$4:$F$19, 0)</f>
        <v>0</v>
      </c>
    </row>
    <row r="237" spans="6:6" hidden="1" x14ac:dyDescent="0.3">
      <c r="F237" s="1">
        <f>_xlfn.XLOOKUP(E237, CONTROLE_ESTOQUE!$A$4:$A$19, CONTROLE_ESTOQUE!$F$4:$F$19, 0)</f>
        <v>0</v>
      </c>
    </row>
    <row r="238" spans="6:6" hidden="1" x14ac:dyDescent="0.3">
      <c r="F238" s="1">
        <f>_xlfn.XLOOKUP(E238, CONTROLE_ESTOQUE!$A$4:$A$19, CONTROLE_ESTOQUE!$F$4:$F$19, 0)</f>
        <v>0</v>
      </c>
    </row>
    <row r="239" spans="6:6" hidden="1" x14ac:dyDescent="0.3">
      <c r="F239" s="1">
        <f>_xlfn.XLOOKUP(E239, CONTROLE_ESTOQUE!$A$4:$A$19, CONTROLE_ESTOQUE!$F$4:$F$19, 0)</f>
        <v>0</v>
      </c>
    </row>
    <row r="240" spans="6:6" hidden="1" x14ac:dyDescent="0.3">
      <c r="F240" s="1">
        <f>_xlfn.XLOOKUP(E240, CONTROLE_ESTOQUE!$A$4:$A$19, CONTROLE_ESTOQUE!$F$4:$F$19, 0)</f>
        <v>0</v>
      </c>
    </row>
    <row r="241" spans="6:6" hidden="1" x14ac:dyDescent="0.3">
      <c r="F241" s="1">
        <f>_xlfn.XLOOKUP(E241, CONTROLE_ESTOQUE!$A$4:$A$19, CONTROLE_ESTOQUE!$F$4:$F$19, 0)</f>
        <v>0</v>
      </c>
    </row>
    <row r="242" spans="6:6" hidden="1" x14ac:dyDescent="0.3">
      <c r="F242" s="1">
        <f>_xlfn.XLOOKUP(E242, CONTROLE_ESTOQUE!$A$4:$A$19, CONTROLE_ESTOQUE!$F$4:$F$19, 0)</f>
        <v>0</v>
      </c>
    </row>
    <row r="243" spans="6:6" hidden="1" x14ac:dyDescent="0.3">
      <c r="F243" s="1">
        <f>_xlfn.XLOOKUP(E243, CONTROLE_ESTOQUE!$A$4:$A$19, CONTROLE_ESTOQUE!$F$4:$F$19, 0)</f>
        <v>0</v>
      </c>
    </row>
    <row r="244" spans="6:6" hidden="1" x14ac:dyDescent="0.3">
      <c r="F244" s="1">
        <f>_xlfn.XLOOKUP(E244, CONTROLE_ESTOQUE!$A$4:$A$19, CONTROLE_ESTOQUE!$F$4:$F$19, 0)</f>
        <v>0</v>
      </c>
    </row>
    <row r="245" spans="6:6" hidden="1" x14ac:dyDescent="0.3">
      <c r="F245" s="1">
        <f>_xlfn.XLOOKUP(E245, CONTROLE_ESTOQUE!$A$4:$A$19, CONTROLE_ESTOQUE!$F$4:$F$19, 0)</f>
        <v>0</v>
      </c>
    </row>
    <row r="246" spans="6:6" hidden="1" x14ac:dyDescent="0.3">
      <c r="F246" s="1">
        <f>_xlfn.XLOOKUP(E246, CONTROLE_ESTOQUE!$A$4:$A$19, CONTROLE_ESTOQUE!$F$4:$F$19, 0)</f>
        <v>0</v>
      </c>
    </row>
    <row r="247" spans="6:6" hidden="1" x14ac:dyDescent="0.3">
      <c r="F247" s="1">
        <f>_xlfn.XLOOKUP(E247, CONTROLE_ESTOQUE!$A$4:$A$19, CONTROLE_ESTOQUE!$F$4:$F$19, 0)</f>
        <v>0</v>
      </c>
    </row>
    <row r="248" spans="6:6" hidden="1" x14ac:dyDescent="0.3">
      <c r="F248" s="1">
        <f>_xlfn.XLOOKUP(E248, CONTROLE_ESTOQUE!$A$4:$A$19, CONTROLE_ESTOQUE!$F$4:$F$19, 0)</f>
        <v>0</v>
      </c>
    </row>
    <row r="249" spans="6:6" hidden="1" x14ac:dyDescent="0.3">
      <c r="F249" s="1">
        <f>_xlfn.XLOOKUP(E249, CONTROLE_ESTOQUE!$A$4:$A$19, CONTROLE_ESTOQUE!$F$4:$F$19, 0)</f>
        <v>0</v>
      </c>
    </row>
    <row r="250" spans="6:6" hidden="1" x14ac:dyDescent="0.3">
      <c r="F250" s="1">
        <f>_xlfn.XLOOKUP(E250, CONTROLE_ESTOQUE!$A$4:$A$19, CONTROLE_ESTOQUE!$F$4:$F$19, 0)</f>
        <v>0</v>
      </c>
    </row>
    <row r="251" spans="6:6" hidden="1" x14ac:dyDescent="0.3">
      <c r="F251" s="1">
        <f>_xlfn.XLOOKUP(E251, CONTROLE_ESTOQUE!$A$4:$A$19, CONTROLE_ESTOQUE!$F$4:$F$19, 0)</f>
        <v>0</v>
      </c>
    </row>
    <row r="252" spans="6:6" hidden="1" x14ac:dyDescent="0.3">
      <c r="F252" s="1">
        <f>_xlfn.XLOOKUP(E252, CONTROLE_ESTOQUE!$A$4:$A$19, CONTROLE_ESTOQUE!$F$4:$F$19, 0)</f>
        <v>0</v>
      </c>
    </row>
    <row r="253" spans="6:6" hidden="1" x14ac:dyDescent="0.3">
      <c r="F253" s="1">
        <f>_xlfn.XLOOKUP(E253, CONTROLE_ESTOQUE!$A$4:$A$19, CONTROLE_ESTOQUE!$F$4:$F$19, 0)</f>
        <v>0</v>
      </c>
    </row>
    <row r="254" spans="6:6" hidden="1" x14ac:dyDescent="0.3">
      <c r="F254" s="1">
        <f>_xlfn.XLOOKUP(E254, CONTROLE_ESTOQUE!$A$4:$A$19, CONTROLE_ESTOQUE!$F$4:$F$19, 0)</f>
        <v>0</v>
      </c>
    </row>
    <row r="255" spans="6:6" hidden="1" x14ac:dyDescent="0.3">
      <c r="F255" s="1">
        <f>_xlfn.XLOOKUP(E255, CONTROLE_ESTOQUE!$A$4:$A$19, CONTROLE_ESTOQUE!$F$4:$F$19, 0)</f>
        <v>0</v>
      </c>
    </row>
    <row r="256" spans="6:6" hidden="1" x14ac:dyDescent="0.3">
      <c r="F256" s="1">
        <f>_xlfn.XLOOKUP(E256, CONTROLE_ESTOQUE!$A$4:$A$19, CONTROLE_ESTOQUE!$F$4:$F$19, 0)</f>
        <v>0</v>
      </c>
    </row>
    <row r="257" spans="6:6" hidden="1" x14ac:dyDescent="0.3">
      <c r="F257" s="1">
        <f>_xlfn.XLOOKUP(E257, CONTROLE_ESTOQUE!$A$4:$A$19, CONTROLE_ESTOQUE!$F$4:$F$19, 0)</f>
        <v>0</v>
      </c>
    </row>
    <row r="258" spans="6:6" hidden="1" x14ac:dyDescent="0.3">
      <c r="F258" s="1">
        <f>_xlfn.XLOOKUP(E258, CONTROLE_ESTOQUE!$A$4:$A$19, CONTROLE_ESTOQUE!$F$4:$F$19, 0)</f>
        <v>0</v>
      </c>
    </row>
    <row r="259" spans="6:6" hidden="1" x14ac:dyDescent="0.3">
      <c r="F259" s="1">
        <f>_xlfn.XLOOKUP(E259, CONTROLE_ESTOQUE!$A$4:$A$19, CONTROLE_ESTOQUE!$F$4:$F$19, 0)</f>
        <v>0</v>
      </c>
    </row>
    <row r="260" spans="6:6" hidden="1" x14ac:dyDescent="0.3">
      <c r="F260" s="1">
        <f>_xlfn.XLOOKUP(E260, CONTROLE_ESTOQUE!$A$4:$A$19, CONTROLE_ESTOQUE!$F$4:$F$19, 0)</f>
        <v>0</v>
      </c>
    </row>
    <row r="261" spans="6:6" hidden="1" x14ac:dyDescent="0.3">
      <c r="F261" s="1">
        <f>_xlfn.XLOOKUP(E261, CONTROLE_ESTOQUE!$A$4:$A$19, CONTROLE_ESTOQUE!$F$4:$F$19, 0)</f>
        <v>0</v>
      </c>
    </row>
    <row r="262" spans="6:6" hidden="1" x14ac:dyDescent="0.3">
      <c r="F262" s="1">
        <f>_xlfn.XLOOKUP(E262, CONTROLE_ESTOQUE!$A$4:$A$19, CONTROLE_ESTOQUE!$F$4:$F$19, 0)</f>
        <v>0</v>
      </c>
    </row>
    <row r="263" spans="6:6" hidden="1" x14ac:dyDescent="0.3">
      <c r="F263" s="1">
        <f>_xlfn.XLOOKUP(E263, CONTROLE_ESTOQUE!$A$4:$A$19, CONTROLE_ESTOQUE!$F$4:$F$19, 0)</f>
        <v>0</v>
      </c>
    </row>
    <row r="264" spans="6:6" hidden="1" x14ac:dyDescent="0.3">
      <c r="F264" s="1">
        <f>_xlfn.XLOOKUP(E264, CONTROLE_ESTOQUE!$A$4:$A$19, CONTROLE_ESTOQUE!$F$4:$F$19, 0)</f>
        <v>0</v>
      </c>
    </row>
    <row r="265" spans="6:6" hidden="1" x14ac:dyDescent="0.3">
      <c r="F265" s="1">
        <f>_xlfn.XLOOKUP(E265, CONTROLE_ESTOQUE!$A$4:$A$19, CONTROLE_ESTOQUE!$F$4:$F$19, 0)</f>
        <v>0</v>
      </c>
    </row>
    <row r="266" spans="6:6" hidden="1" x14ac:dyDescent="0.3">
      <c r="F266" s="1">
        <f>_xlfn.XLOOKUP(E266, CONTROLE_ESTOQUE!$A$4:$A$19, CONTROLE_ESTOQUE!$F$4:$F$19, 0)</f>
        <v>0</v>
      </c>
    </row>
    <row r="267" spans="6:6" hidden="1" x14ac:dyDescent="0.3">
      <c r="F267" s="1">
        <f>_xlfn.XLOOKUP(E267, CONTROLE_ESTOQUE!$A$4:$A$19, CONTROLE_ESTOQUE!$F$4:$F$19, 0)</f>
        <v>0</v>
      </c>
    </row>
    <row r="268" spans="6:6" hidden="1" x14ac:dyDescent="0.3">
      <c r="F268" s="1">
        <f>_xlfn.XLOOKUP(E268, CONTROLE_ESTOQUE!$A$4:$A$19, CONTROLE_ESTOQUE!$F$4:$F$19, 0)</f>
        <v>0</v>
      </c>
    </row>
    <row r="269" spans="6:6" hidden="1" x14ac:dyDescent="0.3">
      <c r="F269" s="1">
        <f>_xlfn.XLOOKUP(E269, CONTROLE_ESTOQUE!$A$4:$A$19, CONTROLE_ESTOQUE!$F$4:$F$19, 0)</f>
        <v>0</v>
      </c>
    </row>
    <row r="270" spans="6:6" hidden="1" x14ac:dyDescent="0.3">
      <c r="F270" s="1">
        <f>_xlfn.XLOOKUP(E270, CONTROLE_ESTOQUE!$A$4:$A$19, CONTROLE_ESTOQUE!$F$4:$F$19, 0)</f>
        <v>0</v>
      </c>
    </row>
    <row r="271" spans="6:6" hidden="1" x14ac:dyDescent="0.3">
      <c r="F271" s="1">
        <f>_xlfn.XLOOKUP(E271, CONTROLE_ESTOQUE!$A$4:$A$19, CONTROLE_ESTOQUE!$F$4:$F$19, 0)</f>
        <v>0</v>
      </c>
    </row>
    <row r="272" spans="6:6" hidden="1" x14ac:dyDescent="0.3">
      <c r="F272" s="1">
        <f>_xlfn.XLOOKUP(E272, CONTROLE_ESTOQUE!$A$4:$A$19, CONTROLE_ESTOQUE!$F$4:$F$19, 0)</f>
        <v>0</v>
      </c>
    </row>
    <row r="273" spans="1:8" hidden="1" x14ac:dyDescent="0.3">
      <c r="F273" s="1">
        <f>_xlfn.XLOOKUP(E273, CONTROLE_ESTOQUE!$A$4:$A$19, CONTROLE_ESTOQUE!$F$4:$F$19, 0)</f>
        <v>0</v>
      </c>
    </row>
    <row r="274" spans="1:8" hidden="1" x14ac:dyDescent="0.3">
      <c r="F274" s="1">
        <f>_xlfn.XLOOKUP(E274, CONTROLE_ESTOQUE!$A$4:$A$19, CONTROLE_ESTOQUE!$F$4:$F$19, 0)</f>
        <v>0</v>
      </c>
    </row>
    <row r="275" spans="1:8" hidden="1" x14ac:dyDescent="0.3">
      <c r="F275" s="1">
        <f>_xlfn.XLOOKUP(E275, CONTROLE_ESTOQUE!$A$4:$A$19, CONTROLE_ESTOQUE!$F$4:$F$19, 0)</f>
        <v>0</v>
      </c>
    </row>
    <row r="276" spans="1:8" hidden="1" x14ac:dyDescent="0.3">
      <c r="F276" s="1">
        <f>_xlfn.XLOOKUP(E276, CONTROLE_ESTOQUE!$A$4:$A$19, CONTROLE_ESTOQUE!$F$4:$F$19, 0)</f>
        <v>0</v>
      </c>
    </row>
    <row r="277" spans="1:8" hidden="1" x14ac:dyDescent="0.3">
      <c r="F277" s="1">
        <f>_xlfn.XLOOKUP(E277, CONTROLE_ESTOQUE!$A$4:$A$19, CONTROLE_ESTOQUE!$F$4:$F$19, 0)</f>
        <v>0</v>
      </c>
    </row>
    <row r="278" spans="1:8" hidden="1" x14ac:dyDescent="0.3">
      <c r="F278" s="1">
        <f>_xlfn.XLOOKUP(E278, CONTROLE_ESTOQUE!$A$4:$A$19, CONTROLE_ESTOQUE!$F$4:$F$19, 0)</f>
        <v>0</v>
      </c>
    </row>
    <row r="279" spans="1:8" x14ac:dyDescent="0.3">
      <c r="A279" s="33">
        <v>46133</v>
      </c>
      <c r="B279" s="1">
        <v>1368</v>
      </c>
      <c r="C279" s="1" t="s">
        <v>43</v>
      </c>
      <c r="D279" s="30">
        <f>VLOOKUP(C279,CONTROLE_VENDAS!$A$3:$D$9,4,0)</f>
        <v>37.159680000000002</v>
      </c>
      <c r="E279" s="1" t="s">
        <v>61</v>
      </c>
      <c r="F279" s="1">
        <f>_xlfn.XLOOKUP(E279,CONTROLE_ESTOQUE!$A$4:$A$23,CONTROLE_ESTOQUE!$F$4:$F$23,0)</f>
        <v>0</v>
      </c>
      <c r="H279" s="31">
        <f t="shared" ref="H279" si="1">D279+F279</f>
        <v>37.159680000000002</v>
      </c>
    </row>
    <row r="280" spans="1:8" x14ac:dyDescent="0.3">
      <c r="A280" s="33">
        <v>46133</v>
      </c>
      <c r="B280" s="1">
        <v>1369</v>
      </c>
      <c r="C280" s="1" t="s">
        <v>45</v>
      </c>
      <c r="D280" s="30">
        <f>VLOOKUP(C280,CONTROLE_VENDAS!$A$3:$D$9,4,0)</f>
        <v>18.195839999999997</v>
      </c>
      <c r="E280" s="1" t="s">
        <v>15</v>
      </c>
      <c r="F280" s="1">
        <f>_xlfn.XLOOKUP(E280,CONTROLE_ESTOQUE!$A$4:$A$23,CONTROLE_ESTOQUE!$F$4:$F$23,0)</f>
        <v>7.96</v>
      </c>
    </row>
    <row r="281" spans="1:8" x14ac:dyDescent="0.3">
      <c r="A281" s="33">
        <v>46133</v>
      </c>
      <c r="B281" s="1">
        <v>1370</v>
      </c>
      <c r="C281" s="1" t="s">
        <v>41</v>
      </c>
      <c r="D281" s="30">
        <f>VLOOKUP(C281,CONTROLE_VENDAS!$A$3:$D$9,4,0)</f>
        <v>54.696000000000005</v>
      </c>
    </row>
    <row r="282" spans="1:8" x14ac:dyDescent="0.3">
      <c r="D282" s="30"/>
    </row>
    <row r="283" spans="1:8" x14ac:dyDescent="0.3">
      <c r="D283" s="30"/>
    </row>
  </sheetData>
  <autoFilter ref="A2:H278" xr:uid="{00000000-0001-0000-0000-000000000000}">
    <filterColumn colId="2">
      <customFilters>
        <customFilter operator="notEqual" val=" "/>
      </customFilters>
    </filterColumn>
  </autoFilter>
  <mergeCells count="1">
    <mergeCell ref="C1:H1"/>
  </mergeCells>
  <dataValidations xWindow="340" yWindow="549" count="3">
    <dataValidation type="list" allowBlank="1" showInputMessage="1" showErrorMessage="1" sqref="E3:E17" xr:uid="{804BB3F1-7E7F-43BD-A673-00DB65C34593}">
      <formula1>$L$5:$L$10</formula1>
    </dataValidation>
    <dataValidation type="list" allowBlank="1" showInputMessage="1" showErrorMessage="1" sqref="E18:E1048576" xr:uid="{32970D3F-9CCC-4D34-9019-E0B5178082ED}">
      <formula1>$L$5:$L$9</formula1>
    </dataValidation>
    <dataValidation type="list" allowBlank="1" showInputMessage="1" showErrorMessage="1" sqref="C2:C1048576" xr:uid="{01D8ABC5-015A-41FD-BE68-37A7DD8B8AE5}">
      <formula1>$J$4:$J$10</formula1>
    </dataValidation>
  </dataValidations>
  <pageMargins left="0.511811024" right="0.511811024" top="0.78740157499999996" bottom="0.78740157499999996" header="0.31496062000000002" footer="0.31496062000000002"/>
  <ignoredErrors>
    <ignoredError sqref="D20:D22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P23"/>
  <sheetViews>
    <sheetView showGridLines="0" zoomScale="89" zoomScaleNormal="89" workbookViewId="0">
      <selection activeCell="M3" sqref="M3"/>
    </sheetView>
  </sheetViews>
  <sheetFormatPr defaultRowHeight="14.4" x14ac:dyDescent="0.3"/>
  <cols>
    <col min="1" max="1" width="44.88671875" customWidth="1"/>
    <col min="2" max="2" width="31.6640625" customWidth="1"/>
    <col min="3" max="4" width="21.109375" customWidth="1"/>
    <col min="5" max="5" width="16.77734375" customWidth="1"/>
    <col min="6" max="6" width="18.44140625" customWidth="1"/>
    <col min="7" max="7" width="11.88671875" bestFit="1" customWidth="1"/>
    <col min="8" max="8" width="23.44140625" customWidth="1"/>
    <col min="9" max="9" width="16.6640625" customWidth="1"/>
    <col min="10" max="10" width="16.88671875" customWidth="1"/>
    <col min="11" max="11" width="20.44140625" customWidth="1"/>
    <col min="12" max="13" width="16.6640625" customWidth="1"/>
    <col min="15" max="16" width="16.6640625" customWidth="1"/>
    <col min="18" max="19" width="16.6640625" customWidth="1"/>
  </cols>
  <sheetData>
    <row r="1" spans="1:16" ht="54" customHeight="1" x14ac:dyDescent="0.3">
      <c r="A1" s="68" t="e" vm="1">
        <v>#VALUE!</v>
      </c>
      <c r="B1" s="71" t="s">
        <v>9</v>
      </c>
      <c r="C1" s="71"/>
      <c r="D1" s="71"/>
      <c r="E1" s="71"/>
      <c r="F1" s="71"/>
      <c r="G1" s="71"/>
      <c r="H1" s="71"/>
      <c r="I1" s="71"/>
      <c r="J1" s="71"/>
      <c r="K1" s="71"/>
      <c r="L1" s="69"/>
      <c r="M1" s="69"/>
      <c r="O1" s="69"/>
      <c r="P1" s="69"/>
    </row>
    <row r="2" spans="1:16" ht="41.4" customHeight="1" x14ac:dyDescent="0.3">
      <c r="A2" s="68"/>
      <c r="B2" s="70" t="s">
        <v>8</v>
      </c>
      <c r="C2" s="70"/>
      <c r="D2" s="70"/>
      <c r="E2" s="70"/>
      <c r="F2" s="70"/>
      <c r="G2" s="70"/>
      <c r="H2" s="70"/>
      <c r="I2" s="70"/>
      <c r="J2" s="70"/>
      <c r="K2" s="70"/>
    </row>
    <row r="3" spans="1:16" ht="29.4" customHeight="1" x14ac:dyDescent="0.3">
      <c r="A3" s="50" t="s">
        <v>12</v>
      </c>
      <c r="B3" s="50" t="s">
        <v>58</v>
      </c>
      <c r="C3" s="51" t="s">
        <v>79</v>
      </c>
      <c r="D3" s="51" t="s">
        <v>80</v>
      </c>
      <c r="E3" s="50" t="s">
        <v>19</v>
      </c>
      <c r="F3" s="50" t="s">
        <v>0</v>
      </c>
      <c r="G3" s="50" t="s">
        <v>19</v>
      </c>
      <c r="H3" s="50" t="s">
        <v>59</v>
      </c>
      <c r="I3" s="50" t="s">
        <v>52</v>
      </c>
      <c r="J3" s="50" t="s">
        <v>32</v>
      </c>
      <c r="K3" s="50" t="s">
        <v>57</v>
      </c>
    </row>
    <row r="4" spans="1:16" ht="15" customHeight="1" x14ac:dyDescent="0.3">
      <c r="A4" s="60" t="s">
        <v>2</v>
      </c>
      <c r="B4" s="1" t="s">
        <v>17</v>
      </c>
      <c r="C4" s="59">
        <v>28</v>
      </c>
      <c r="D4" s="59">
        <f>(CONTROLE_VENDAS!$E$3*PIZZAS!C2)+(CONTROLE_VENDAS!$E$4*PIZZAS!D2)+(CONTROLE_VENDAS!$E$5*PIZZAS!E2)+(CONTROLE_VENDAS!$E$6*PIZZAS!F2)+(CONTROLE_VENDAS!$E$7*PIZZAS!G2)+(CONTROLE_VENDAS!$E$8*PIZZAS!H2)+(CONTROLE_VENDAS!$E$9*PIZZAS!I2)</f>
        <v>1.2000000000000002</v>
      </c>
      <c r="E4" s="64">
        <f>C4-D4</f>
        <v>26.8</v>
      </c>
      <c r="F4" s="1">
        <v>49.96</v>
      </c>
      <c r="G4" s="3">
        <f>(F4*E4)</f>
        <v>1338.9280000000001</v>
      </c>
      <c r="H4" s="61" t="str">
        <f t="shared" ref="H4:H14" si="0">IF(C4&lt;20, "REPOR IMEDIATAMENTE", IF(C4&lt;=25, "ATENÇÃO ESTOQUE", "ESTOQUE OK"))</f>
        <v>ESTOQUE OK</v>
      </c>
      <c r="I4" s="7" t="s">
        <v>53</v>
      </c>
      <c r="J4" s="27">
        <v>46175</v>
      </c>
      <c r="K4" s="1" t="str">
        <f ca="1">IF(J4 &lt;= TODAY(), "VENCIDO", IF(J4&lt;= TODAY() + 6, "VENCE EM BREVE", "OK"))</f>
        <v>OK</v>
      </c>
    </row>
    <row r="5" spans="1:16" ht="15" customHeight="1" x14ac:dyDescent="0.3">
      <c r="A5" s="60" t="s">
        <v>3</v>
      </c>
      <c r="B5" s="1" t="s">
        <v>17</v>
      </c>
      <c r="C5" s="59">
        <v>40</v>
      </c>
      <c r="D5" s="59">
        <f>(CONTROLE_VENDAS!$E$3*PIZZAS!C3)+(CONTROLE_VENDAS!$E$4*PIZZAS!D3)+(CONTROLE_VENDAS!$E$5*PIZZAS!E3)+(CONTROLE_VENDAS!$E$6*PIZZAS!F3)+(CONTROLE_VENDAS!$E$7*PIZZAS!G3)+(CONTROLE_VENDAS!$E$8*PIZZAS!H3)+(CONTROLE_VENDAS!$E$9*PIZZAS!I3)</f>
        <v>3.2</v>
      </c>
      <c r="E5" s="64">
        <f t="shared" ref="E5:E23" si="1">C5-D5</f>
        <v>36.799999999999997</v>
      </c>
      <c r="F5" s="1">
        <v>19.96</v>
      </c>
      <c r="G5" s="3">
        <f t="shared" ref="G5:G23" si="2">(F5*E5)</f>
        <v>734.52800000000002</v>
      </c>
      <c r="H5" s="61" t="str">
        <f t="shared" si="0"/>
        <v>ESTOQUE OK</v>
      </c>
      <c r="I5" s="7" t="s">
        <v>54</v>
      </c>
      <c r="J5" s="27">
        <v>46167</v>
      </c>
      <c r="K5" s="1" t="str">
        <f t="shared" ref="K5:K23" ca="1" si="3">IF(J5 &lt;= TODAY(), "VENCIDO", IF(J5&lt;= TODAY() + 6, "VENCE EM BREVE", "OK"))</f>
        <v>OK</v>
      </c>
    </row>
    <row r="6" spans="1:16" ht="15" customHeight="1" x14ac:dyDescent="0.3">
      <c r="A6" s="60" t="s">
        <v>4</v>
      </c>
      <c r="B6" s="1" t="s">
        <v>17</v>
      </c>
      <c r="C6" s="59">
        <v>70</v>
      </c>
      <c r="D6" s="59">
        <f>(CONTROLE_VENDAS!$E$3*PIZZAS!C4)+(CONTROLE_VENDAS!$E$4*PIZZAS!D4)+(CONTROLE_VENDAS!$E$5*PIZZAS!E4)+(CONTROLE_VENDAS!$E$6*PIZZAS!F4)+(CONTROLE_VENDAS!$E$7*PIZZAS!G4)+(CONTROLE_VENDAS!$E$8*PIZZAS!H4)+(CONTROLE_VENDAS!$E$9*PIZZAS!I4)</f>
        <v>7.3499999999999988</v>
      </c>
      <c r="E6" s="64">
        <f t="shared" si="1"/>
        <v>62.65</v>
      </c>
      <c r="F6" s="1">
        <v>6.96</v>
      </c>
      <c r="G6" s="3">
        <f t="shared" si="2"/>
        <v>436.04399999999998</v>
      </c>
      <c r="H6" s="61" t="str">
        <f t="shared" si="0"/>
        <v>ESTOQUE OK</v>
      </c>
      <c r="I6" s="8" t="s">
        <v>55</v>
      </c>
      <c r="J6" s="27">
        <v>46170</v>
      </c>
      <c r="K6" s="1" t="str">
        <f t="shared" ca="1" si="3"/>
        <v>OK</v>
      </c>
    </row>
    <row r="7" spans="1:16" ht="15" customHeight="1" x14ac:dyDescent="0.3">
      <c r="A7" s="60" t="s">
        <v>5</v>
      </c>
      <c r="B7" s="1" t="s">
        <v>20</v>
      </c>
      <c r="C7" s="59">
        <v>26</v>
      </c>
      <c r="D7" s="59">
        <f>(CONTROLE_VENDAS!$E$3*PIZZAS!C5)+(CONTROLE_VENDAS!$E$4*PIZZAS!D5)+(CONTROLE_VENDAS!$E$5*PIZZAS!E5)+(CONTROLE_VENDAS!$E$6*PIZZAS!F5)+(CONTROLE_VENDAS!$E$7*PIZZAS!G5)+(CONTROLE_VENDAS!$E$8*PIZZAS!H5)+(CONTROLE_VENDAS!$E$9*PIZZAS!I5)</f>
        <v>84</v>
      </c>
      <c r="E7" s="64">
        <f t="shared" si="1"/>
        <v>-58</v>
      </c>
      <c r="F7" s="1">
        <v>12.96</v>
      </c>
      <c r="G7" s="3">
        <f t="shared" si="2"/>
        <v>-751.68000000000006</v>
      </c>
      <c r="H7" s="61" t="str">
        <f t="shared" si="0"/>
        <v>ESTOQUE OK</v>
      </c>
      <c r="I7" s="9" t="s">
        <v>56</v>
      </c>
      <c r="J7" s="27">
        <v>46141</v>
      </c>
      <c r="K7" s="1" t="str">
        <f t="shared" ca="1" si="3"/>
        <v>VENCIDO</v>
      </c>
    </row>
    <row r="8" spans="1:16" ht="15" customHeight="1" x14ac:dyDescent="0.3">
      <c r="A8" s="60" t="s">
        <v>30</v>
      </c>
      <c r="B8" s="1" t="s">
        <v>17</v>
      </c>
      <c r="C8" s="59">
        <v>36</v>
      </c>
      <c r="D8" s="59">
        <f>(CONTROLE_VENDAS!$E$3*PIZZAS!C6)+(CONTROLE_VENDAS!$E$4*PIZZAS!D6)+(CONTROLE_VENDAS!$E$5*PIZZAS!E6)+(CONTROLE_VENDAS!$E$6*PIZZAS!F6)+(CONTROLE_VENDAS!$E$7*PIZZAS!G6)+(CONTROLE_VENDAS!$E$8*PIZZAS!H6)+(CONTROLE_VENDAS!$E$9*PIZZAS!I6)</f>
        <v>1</v>
      </c>
      <c r="E8" s="64">
        <f t="shared" si="1"/>
        <v>35</v>
      </c>
      <c r="F8" s="1">
        <v>21.96</v>
      </c>
      <c r="G8" s="3">
        <f t="shared" si="2"/>
        <v>768.6</v>
      </c>
      <c r="H8" s="61" t="str">
        <f t="shared" si="0"/>
        <v>ESTOQUE OK</v>
      </c>
      <c r="I8" s="8">
        <v>3</v>
      </c>
      <c r="J8" s="27">
        <v>46205</v>
      </c>
      <c r="K8" s="1" t="str">
        <f t="shared" ca="1" si="3"/>
        <v>OK</v>
      </c>
    </row>
    <row r="9" spans="1:16" ht="15" customHeight="1" x14ac:dyDescent="0.3">
      <c r="A9" s="60" t="s">
        <v>6</v>
      </c>
      <c r="B9" s="1" t="s">
        <v>17</v>
      </c>
      <c r="C9" s="59">
        <v>12</v>
      </c>
      <c r="D9" s="59">
        <f>(CONTROLE_VENDAS!$E$3*PIZZAS!C7)+(CONTROLE_VENDAS!$E$4*PIZZAS!D7)+(CONTROLE_VENDAS!$E$5*PIZZAS!E7)+(CONTROLE_VENDAS!$E$6*PIZZAS!F7)+(CONTROLE_VENDAS!$E$7*PIZZAS!G7)+(CONTROLE_VENDAS!$E$8*PIZZAS!H7)+(CONTROLE_VENDAS!$E$9*PIZZAS!I7)</f>
        <v>0</v>
      </c>
      <c r="E9" s="64">
        <f t="shared" si="1"/>
        <v>12</v>
      </c>
      <c r="F9" s="1">
        <v>8.9600000000000009</v>
      </c>
      <c r="G9" s="3">
        <f t="shared" si="2"/>
        <v>107.52000000000001</v>
      </c>
      <c r="H9" s="61" t="str">
        <f t="shared" si="0"/>
        <v>REPOR IMEDIATAMENTE</v>
      </c>
      <c r="I9" s="8">
        <v>9</v>
      </c>
      <c r="J9" s="27">
        <v>46150</v>
      </c>
      <c r="K9" s="1" t="str">
        <f t="shared" ca="1" si="3"/>
        <v>VENCE EM BREVE</v>
      </c>
    </row>
    <row r="10" spans="1:16" ht="15" customHeight="1" x14ac:dyDescent="0.3">
      <c r="A10" s="60" t="s">
        <v>7</v>
      </c>
      <c r="B10" s="1" t="s">
        <v>17</v>
      </c>
      <c r="C10" s="59">
        <v>10</v>
      </c>
      <c r="D10" s="59">
        <f>(CONTROLE_VENDAS!$E$3*PIZZAS!C8)+(CONTROLE_VENDAS!$E$4*PIZZAS!D8)+(CONTROLE_VENDAS!$E$5*PIZZAS!E8)+(CONTROLE_VENDAS!$E$6*PIZZAS!F8)+(CONTROLE_VENDAS!$E$7*PIZZAS!G8)+(CONTROLE_VENDAS!$E$8*PIZZAS!H8)+(CONTROLE_VENDAS!$E$9*PIZZAS!I8)</f>
        <v>0.75</v>
      </c>
      <c r="E10" s="64">
        <f t="shared" si="1"/>
        <v>9.25</v>
      </c>
      <c r="F10" s="1">
        <v>8.9600000000000009</v>
      </c>
      <c r="G10" s="3">
        <f t="shared" si="2"/>
        <v>82.88000000000001</v>
      </c>
      <c r="H10" s="61" t="str">
        <f t="shared" si="0"/>
        <v>REPOR IMEDIATAMENTE</v>
      </c>
      <c r="I10" s="8">
        <v>7</v>
      </c>
      <c r="J10" s="27">
        <v>46146</v>
      </c>
      <c r="K10" s="1" t="str">
        <f t="shared" ca="1" si="3"/>
        <v>VENCIDO</v>
      </c>
    </row>
    <row r="11" spans="1:16" ht="15" customHeight="1" x14ac:dyDescent="0.3">
      <c r="A11" s="60" t="s">
        <v>10</v>
      </c>
      <c r="B11" s="1" t="s">
        <v>17</v>
      </c>
      <c r="C11" s="59">
        <v>8</v>
      </c>
      <c r="D11" s="59">
        <f>(CONTROLE_VENDAS!$E$3*PIZZAS!C9)+(CONTROLE_VENDAS!$E$4*PIZZAS!D9)+(CONTROLE_VENDAS!$E$5*PIZZAS!E9)+(CONTROLE_VENDAS!$E$6*PIZZAS!F9)+(CONTROLE_VENDAS!$E$7*PIZZAS!G9)+(CONTROLE_VENDAS!$E$8*PIZZAS!H9)+(CONTROLE_VENDAS!$E$9*PIZZAS!I9)</f>
        <v>0.4</v>
      </c>
      <c r="E11" s="64">
        <f t="shared" si="1"/>
        <v>7.6</v>
      </c>
      <c r="F11" s="1">
        <v>5.96</v>
      </c>
      <c r="G11" s="3">
        <f t="shared" si="2"/>
        <v>45.295999999999999</v>
      </c>
      <c r="H11" s="61" t="str">
        <f t="shared" si="0"/>
        <v>REPOR IMEDIATAMENTE</v>
      </c>
      <c r="I11" s="8">
        <v>8</v>
      </c>
      <c r="J11" s="27">
        <v>46232</v>
      </c>
      <c r="K11" s="1" t="str">
        <f t="shared" ca="1" si="3"/>
        <v>OK</v>
      </c>
    </row>
    <row r="12" spans="1:16" ht="15" customHeight="1" x14ac:dyDescent="0.3">
      <c r="A12" s="60" t="s">
        <v>11</v>
      </c>
      <c r="B12" s="1" t="s">
        <v>17</v>
      </c>
      <c r="C12" s="59">
        <v>8</v>
      </c>
      <c r="D12" s="59">
        <f>(CONTROLE_VENDAS!$E$3*PIZZAS!C10)+(CONTROLE_VENDAS!$E$4*PIZZAS!D10)+(CONTROLE_VENDAS!$E$5*PIZZAS!E10)+(CONTROLE_VENDAS!$E$6*PIZZAS!F10)+(CONTROLE_VENDAS!$E$7*PIZZAS!G10)+(CONTROLE_VENDAS!$E$8*PIZZAS!H10)+(CONTROLE_VENDAS!$E$9*PIZZAS!I10)</f>
        <v>1.5000000000000002</v>
      </c>
      <c r="E12" s="64">
        <f t="shared" si="1"/>
        <v>6.5</v>
      </c>
      <c r="F12" s="1">
        <v>6.98</v>
      </c>
      <c r="G12" s="3">
        <f t="shared" si="2"/>
        <v>45.370000000000005</v>
      </c>
      <c r="H12" s="61" t="str">
        <f t="shared" si="0"/>
        <v>REPOR IMEDIATAMENTE</v>
      </c>
      <c r="I12" s="8">
        <v>2</v>
      </c>
      <c r="J12" s="27">
        <v>46176</v>
      </c>
      <c r="K12" s="1" t="str">
        <f t="shared" ca="1" si="3"/>
        <v>OK</v>
      </c>
    </row>
    <row r="13" spans="1:16" x14ac:dyDescent="0.3">
      <c r="A13" s="60" t="s">
        <v>28</v>
      </c>
      <c r="B13" s="1" t="s">
        <v>17</v>
      </c>
      <c r="C13" s="59">
        <v>60</v>
      </c>
      <c r="D13" s="59">
        <f>(CONTROLE_VENDAS!$E$3*PIZZAS!C11)+(CONTROLE_VENDAS!$E$4*PIZZAS!D11)+(CONTROLE_VENDAS!$E$5*PIZZAS!E11)+(CONTROLE_VENDAS!$E$6*PIZZAS!F11)+(CONTROLE_VENDAS!$E$7*PIZZAS!G11)+(CONTROLE_VENDAS!$E$8*PIZZAS!H11)+(CONTROLE_VENDAS!$E$9*PIZZAS!I11)</f>
        <v>1.5000000000000002</v>
      </c>
      <c r="E13" s="64">
        <f t="shared" si="1"/>
        <v>58.5</v>
      </c>
      <c r="F13" s="1">
        <v>16.96</v>
      </c>
      <c r="G13" s="3">
        <f t="shared" si="2"/>
        <v>992.16000000000008</v>
      </c>
      <c r="H13" s="61" t="str">
        <f t="shared" si="0"/>
        <v>ESTOQUE OK</v>
      </c>
      <c r="I13" s="10">
        <v>4</v>
      </c>
      <c r="J13" s="27">
        <v>46241</v>
      </c>
      <c r="K13" s="1" t="str">
        <f t="shared" ca="1" si="3"/>
        <v>OK</v>
      </c>
    </row>
    <row r="14" spans="1:16" x14ac:dyDescent="0.3">
      <c r="A14" s="60" t="s">
        <v>21</v>
      </c>
      <c r="B14" s="1" t="s">
        <v>17</v>
      </c>
      <c r="C14" s="59">
        <v>12</v>
      </c>
      <c r="D14" s="59">
        <f>(CONTROLE_VENDAS!$E$3*PIZZAS!C12)+(CONTROLE_VENDAS!$E$4*PIZZAS!D12)+(CONTROLE_VENDAS!$E$5*PIZZAS!E12)+(CONTROLE_VENDAS!$E$6*PIZZAS!F12)+(CONTROLE_VENDAS!$E$7*PIZZAS!G12)+(CONTROLE_VENDAS!$E$8*PIZZAS!H12)+(CONTROLE_VENDAS!$E$9*PIZZAS!I12)</f>
        <v>0.6</v>
      </c>
      <c r="E14" s="64">
        <f t="shared" si="1"/>
        <v>11.4</v>
      </c>
      <c r="F14" s="1">
        <v>8.9600000000000009</v>
      </c>
      <c r="G14" s="3">
        <f t="shared" si="2"/>
        <v>102.14400000000002</v>
      </c>
      <c r="H14" s="61" t="str">
        <f t="shared" si="0"/>
        <v>REPOR IMEDIATAMENTE</v>
      </c>
      <c r="I14" s="10">
        <v>3</v>
      </c>
      <c r="J14" s="27">
        <v>46263</v>
      </c>
      <c r="K14" s="1" t="str">
        <f t="shared" ca="1" si="3"/>
        <v>OK</v>
      </c>
    </row>
    <row r="15" spans="1:16" x14ac:dyDescent="0.3">
      <c r="A15" s="63" t="s">
        <v>22</v>
      </c>
      <c r="B15" s="1" t="s">
        <v>17</v>
      </c>
      <c r="C15" s="59">
        <v>6</v>
      </c>
      <c r="D15" s="59">
        <f>(CONTROLE_VENDAS!$E$3*PIZZAS!C13)+(CONTROLE_VENDAS!$E$4*PIZZAS!D13)+(CONTROLE_VENDAS!$E$5*PIZZAS!E13)+(CONTROLE_VENDAS!$E$6*PIZZAS!F13)+(CONTROLE_VENDAS!$E$7*PIZZAS!G13)+(CONTROLE_VENDAS!$E$8*PIZZAS!H13)+(CONTROLE_VENDAS!$E$9*PIZZAS!I13)</f>
        <v>0.17</v>
      </c>
      <c r="E15" s="64">
        <f t="shared" si="1"/>
        <v>5.83</v>
      </c>
      <c r="F15" s="1">
        <v>8.9600000000000009</v>
      </c>
      <c r="G15" s="3">
        <f t="shared" si="2"/>
        <v>52.236800000000002</v>
      </c>
      <c r="H15" s="61" t="str">
        <f>IF(C15&lt;2,"REPOR IMEDIATAMENTE","ESTOQUE OK")</f>
        <v>ESTOQUE OK</v>
      </c>
      <c r="I15" s="8">
        <v>4</v>
      </c>
      <c r="J15" s="27">
        <v>46240</v>
      </c>
      <c r="K15" s="1" t="str">
        <f t="shared" ca="1" si="3"/>
        <v>OK</v>
      </c>
    </row>
    <row r="16" spans="1:16" x14ac:dyDescent="0.3">
      <c r="A16" s="63" t="s">
        <v>23</v>
      </c>
      <c r="B16" s="1" t="s">
        <v>17</v>
      </c>
      <c r="C16" s="59">
        <v>16</v>
      </c>
      <c r="D16" s="59">
        <f>(CONTROLE_VENDAS!$E$3*PIZZAS!C14)+(CONTROLE_VENDAS!$E$4*PIZZAS!D14)+(CONTROLE_VENDAS!$E$5*PIZZAS!E14)+(CONTROLE_VENDAS!$E$6*PIZZAS!F14)+(CONTROLE_VENDAS!$E$7*PIZZAS!G14)+(CONTROLE_VENDAS!$E$8*PIZZAS!H14)+(CONTROLE_VENDAS!$E$9*PIZZAS!I14)</f>
        <v>0.60000000000000009</v>
      </c>
      <c r="E16" s="64">
        <f t="shared" si="1"/>
        <v>15.4</v>
      </c>
      <c r="F16" s="1">
        <v>8.9600000000000009</v>
      </c>
      <c r="G16" s="3">
        <f t="shared" si="2"/>
        <v>137.98400000000001</v>
      </c>
      <c r="H16" s="61" t="str">
        <f>IF(C16&lt;2,"REPOR IMEDIATAMENTE","ESTOQUE OK")</f>
        <v>ESTOQUE OK</v>
      </c>
      <c r="I16" s="10">
        <v>8</v>
      </c>
      <c r="J16" s="27">
        <v>46242</v>
      </c>
      <c r="K16" s="1" t="str">
        <f t="shared" ca="1" si="3"/>
        <v>OK</v>
      </c>
    </row>
    <row r="17" spans="1:11" x14ac:dyDescent="0.3">
      <c r="A17" s="63" t="s">
        <v>24</v>
      </c>
      <c r="B17" s="1" t="s">
        <v>17</v>
      </c>
      <c r="C17" s="59">
        <v>12</v>
      </c>
      <c r="D17" s="59">
        <f>(CONTROLE_VENDAS!$E$3*PIZZAS!C15)+(CONTROLE_VENDAS!$E$4*PIZZAS!D15)+(CONTROLE_VENDAS!$E$5*PIZZAS!E15)+(CONTROLE_VENDAS!$E$6*PIZZAS!F15)+(CONTROLE_VENDAS!$E$7*PIZZAS!G15)+(CONTROLE_VENDAS!$E$8*PIZZAS!H15)+(CONTROLE_VENDAS!$E$9*PIZZAS!I15)</f>
        <v>9.5000000000000001E-2</v>
      </c>
      <c r="E17" s="64">
        <f t="shared" si="1"/>
        <v>11.904999999999999</v>
      </c>
      <c r="F17" s="1">
        <v>8.9600000000000009</v>
      </c>
      <c r="G17" s="3">
        <f t="shared" si="2"/>
        <v>106.6688</v>
      </c>
      <c r="H17" s="61" t="str">
        <f>IF(C17&lt;2,"REPOR IMEDIATAMENTE","ESTOQUE OK")</f>
        <v>ESTOQUE OK</v>
      </c>
      <c r="I17" s="8">
        <v>6</v>
      </c>
      <c r="J17" s="27">
        <v>46141</v>
      </c>
      <c r="K17" s="1" t="str">
        <f t="shared" ca="1" si="3"/>
        <v>VENCIDO</v>
      </c>
    </row>
    <row r="18" spans="1:11" x14ac:dyDescent="0.3">
      <c r="A18" s="63" t="s">
        <v>25</v>
      </c>
      <c r="B18" s="1" t="s">
        <v>17</v>
      </c>
      <c r="C18" s="59">
        <v>8</v>
      </c>
      <c r="D18" s="59">
        <f>(CONTROLE_VENDAS!$E$3*PIZZAS!C16)+(CONTROLE_VENDAS!$E$4*PIZZAS!D16)+(CONTROLE_VENDAS!$E$5*PIZZAS!E16)+(CONTROLE_VENDAS!$E$6*PIZZAS!F16)+(CONTROLE_VENDAS!$E$7*PIZZAS!G16)+(CONTROLE_VENDAS!$E$8*PIZZAS!H16)+(CONTROLE_VENDAS!$E$9*PIZZAS!I16)</f>
        <v>0.44999999999999996</v>
      </c>
      <c r="E18" s="64">
        <f t="shared" si="1"/>
        <v>7.55</v>
      </c>
      <c r="F18" s="1">
        <v>12.96</v>
      </c>
      <c r="G18" s="3">
        <f t="shared" si="2"/>
        <v>97.847999999999999</v>
      </c>
      <c r="H18" s="61" t="str">
        <f>IF(C18&lt;2,"REPOR IMEDIATAMENTE","ESTOQUE OK")</f>
        <v>ESTOQUE OK</v>
      </c>
      <c r="I18" s="8">
        <v>6</v>
      </c>
      <c r="J18" s="27">
        <v>46144</v>
      </c>
      <c r="K18" s="1" t="str">
        <f t="shared" ca="1" si="3"/>
        <v>VENCIDO</v>
      </c>
    </row>
    <row r="19" spans="1:11" x14ac:dyDescent="0.3">
      <c r="A19" s="63" t="s">
        <v>26</v>
      </c>
      <c r="B19" s="1" t="s">
        <v>17</v>
      </c>
      <c r="C19" s="59">
        <v>12</v>
      </c>
      <c r="D19" s="59">
        <f>(CONTROLE_VENDAS!$E$3*PIZZAS!C17)+(CONTROLE_VENDAS!$E$4*PIZZAS!D17)+(CONTROLE_VENDAS!$E$5*PIZZAS!E17)+(CONTROLE_VENDAS!$E$6*PIZZAS!F17)+(CONTROLE_VENDAS!$E$7*PIZZAS!G17)+(CONTROLE_VENDAS!$E$8*PIZZAS!H17)+(CONTROLE_VENDAS!$E$9*PIZZAS!I17)</f>
        <v>0.60000000000000009</v>
      </c>
      <c r="E19" s="64">
        <f t="shared" si="1"/>
        <v>11.4</v>
      </c>
      <c r="F19" s="1">
        <v>12.96</v>
      </c>
      <c r="G19" s="3">
        <f t="shared" si="2"/>
        <v>147.74400000000003</v>
      </c>
      <c r="H19" s="61" t="str">
        <f>IF(C19&lt;2,"REPOR IMEDIATAMENTE","ESTOQUE OK")</f>
        <v>ESTOQUE OK</v>
      </c>
      <c r="I19" s="10">
        <v>7</v>
      </c>
      <c r="J19" s="27">
        <v>46157</v>
      </c>
      <c r="K19" s="1" t="str">
        <f t="shared" ca="1" si="3"/>
        <v>OK</v>
      </c>
    </row>
    <row r="20" spans="1:11" x14ac:dyDescent="0.3">
      <c r="A20" s="62" t="s">
        <v>13</v>
      </c>
      <c r="B20" s="1" t="s">
        <v>81</v>
      </c>
      <c r="C20" s="59">
        <f>56-CONTROLE_VENDAS!J3</f>
        <v>53</v>
      </c>
      <c r="D20" s="59">
        <f xml:space="preserve"> _xlfn.XLOOKUP(A20,CONTROLE_VENDAS!H3:H6,CONTROLE_VENDAS!J3:J6,0)</f>
        <v>3</v>
      </c>
      <c r="E20" s="11">
        <f>C20-D20</f>
        <v>50</v>
      </c>
      <c r="F20" s="1">
        <v>8.9600000000000009</v>
      </c>
      <c r="G20" s="3">
        <f t="shared" si="2"/>
        <v>448.00000000000006</v>
      </c>
      <c r="H20" s="61" t="str">
        <f>IF(C20&lt;20, "REPOR IMEDIATAMENTE", IF(C20&lt;=25, "ATENÇÃO ESTOQUE", "ESTOQUE OK"))</f>
        <v>ESTOQUE OK</v>
      </c>
      <c r="I20" s="10">
        <v>5</v>
      </c>
      <c r="J20" s="27">
        <v>46158</v>
      </c>
      <c r="K20" s="1" t="str">
        <f t="shared" ca="1" si="3"/>
        <v>OK</v>
      </c>
    </row>
    <row r="21" spans="1:11" x14ac:dyDescent="0.3">
      <c r="A21" s="62" t="s">
        <v>14</v>
      </c>
      <c r="B21" s="1" t="s">
        <v>81</v>
      </c>
      <c r="C21" s="59">
        <v>18</v>
      </c>
      <c r="D21" s="59">
        <f xml:space="preserve"> _xlfn.XLOOKUP(A21,CONTROLE_VENDAS!H4:H7,CONTROLE_VENDAS!J4:J7,0)</f>
        <v>5</v>
      </c>
      <c r="E21" s="11">
        <f t="shared" ref="E21:E23" si="4">C21-D21</f>
        <v>13</v>
      </c>
      <c r="F21" s="1">
        <v>7.96</v>
      </c>
      <c r="G21" s="3">
        <f t="shared" si="2"/>
        <v>103.48</v>
      </c>
      <c r="H21" s="61" t="str">
        <f>IF(C21&lt;20, "REPOR IMEDIATAMENTE", IF(C21&lt;=25, "ATENÇÃO ESTOQUE", "ESTOQUE OK"))</f>
        <v>REPOR IMEDIATAMENTE</v>
      </c>
      <c r="I21" s="10">
        <v>3</v>
      </c>
      <c r="J21" s="27">
        <v>46159</v>
      </c>
      <c r="K21" s="1" t="str">
        <f t="shared" ca="1" si="3"/>
        <v>OK</v>
      </c>
    </row>
    <row r="22" spans="1:11" x14ac:dyDescent="0.3">
      <c r="A22" s="62" t="s">
        <v>15</v>
      </c>
      <c r="B22" s="1" t="s">
        <v>81</v>
      </c>
      <c r="C22" s="59">
        <v>25</v>
      </c>
      <c r="D22" s="59">
        <f xml:space="preserve"> _xlfn.XLOOKUP(A22,CONTROLE_VENDAS!H5:H8,CONTROLE_VENDAS!J5:J8,0)</f>
        <v>3</v>
      </c>
      <c r="E22" s="11">
        <f t="shared" si="4"/>
        <v>22</v>
      </c>
      <c r="F22" s="1">
        <v>7.96</v>
      </c>
      <c r="G22" s="3">
        <f t="shared" si="2"/>
        <v>175.12</v>
      </c>
      <c r="H22" s="61" t="str">
        <f>IF(C22&lt;20, "REPOR IMEDIATAMENTE", IF(C22&lt;=25, "ATENÇÃO ESTOQUE", "ESTOQUE OK"))</f>
        <v>ATENÇÃO ESTOQUE</v>
      </c>
      <c r="I22" s="10">
        <v>2</v>
      </c>
      <c r="J22" s="27">
        <v>46160</v>
      </c>
      <c r="K22" s="1" t="str">
        <f t="shared" ca="1" si="3"/>
        <v>OK</v>
      </c>
    </row>
    <row r="23" spans="1:11" x14ac:dyDescent="0.3">
      <c r="A23" s="62" t="s">
        <v>16</v>
      </c>
      <c r="B23" s="1" t="s">
        <v>81</v>
      </c>
      <c r="C23" s="59">
        <v>38</v>
      </c>
      <c r="D23" s="59">
        <f xml:space="preserve"> _xlfn.XLOOKUP(A23,CONTROLE_VENDAS!H6:H9,CONTROLE_VENDAS!J6:J9,0)</f>
        <v>2</v>
      </c>
      <c r="E23" s="11">
        <f t="shared" si="4"/>
        <v>36</v>
      </c>
      <c r="F23" s="1">
        <v>8.9600000000000009</v>
      </c>
      <c r="G23" s="3">
        <f t="shared" si="2"/>
        <v>322.56000000000006</v>
      </c>
      <c r="H23" s="61" t="str">
        <f>IF(C23&lt;20, "REPOR IMEDIATAMENTE", IF(C23&lt;=25, "ATENÇÃO ESTOQUE", "ESTOQUE OK"))</f>
        <v>ESTOQUE OK</v>
      </c>
      <c r="I23" s="10">
        <v>4</v>
      </c>
      <c r="J23" s="27">
        <v>46161</v>
      </c>
      <c r="K23" s="1" t="str">
        <f t="shared" ca="1" si="3"/>
        <v>OK</v>
      </c>
    </row>
  </sheetData>
  <autoFilter ref="A3:H19" xr:uid="{00000000-0001-0000-0100-000000000000}">
    <filterColumn colId="0" showButton="0"/>
  </autoFilter>
  <mergeCells count="5">
    <mergeCell ref="A1:A2"/>
    <mergeCell ref="O1:P1"/>
    <mergeCell ref="L1:M1"/>
    <mergeCell ref="B2:K2"/>
    <mergeCell ref="B1:K1"/>
  </mergeCells>
  <conditionalFormatting sqref="H4:H14 H20:H23">
    <cfRule type="containsText" dxfId="7" priority="5" operator="containsText" text="ATENÇÃO ESTOQUE">
      <formula>NOT(ISERROR(SEARCH("ATENÇÃO ESTOQUE",H4)))</formula>
    </cfRule>
  </conditionalFormatting>
  <conditionalFormatting sqref="H4:H23">
    <cfRule type="containsText" dxfId="6" priority="6" operator="containsText" text="REPOR IMEDIATAMENTE">
      <formula>NOT(ISERROR(SEARCH("REPOR IMEDIATAMENTE",H4)))</formula>
    </cfRule>
    <cfRule type="containsText" dxfId="5" priority="7" operator="containsText" text="ESTOQUE OK">
      <formula>NOT(ISERROR(SEARCH("ESTOQUE OK",H4)))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19B1EFF-1CCD-4C7D-B0BC-982D63C7C934}">
            <xm:f>NOT(ISERROR(SEARCH($K$9,K4)))</xm:f>
            <xm:f>$K$9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987BAB30-4352-42AD-84E9-FDFAF32BE291}">
            <xm:f>NOT(ISERROR(SEARCH($K$7,K4)))</xm:f>
            <xm:f>$K$7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508F09E4-A768-4A96-8C63-EE0AF9F062AA}">
            <xm:f>NOT(ISERROR(SEARCH($K$5,K4)))</xm:f>
            <xm:f>$K$5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" operator="containsText" id="{11FAB7C6-6969-4568-9DC9-B927196B204E}">
            <xm:f>NOT(ISERROR(SEARCH($K$4,K4)))</xm:f>
            <xm:f>$K$4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K4:K23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7A79-A25E-43F7-A44C-9D893C566ECA}">
  <sheetPr>
    <tabColor theme="5"/>
  </sheetPr>
  <dimension ref="A1:K67"/>
  <sheetViews>
    <sheetView showGridLines="0" zoomScale="98" zoomScaleNormal="98" workbookViewId="0">
      <selection activeCell="C3" sqref="C3"/>
    </sheetView>
  </sheetViews>
  <sheetFormatPr defaultRowHeight="14.4" x14ac:dyDescent="0.3"/>
  <cols>
    <col min="1" max="1" width="17.5546875" customWidth="1"/>
    <col min="2" max="2" width="14.77734375" customWidth="1"/>
    <col min="3" max="3" width="18.77734375" customWidth="1"/>
    <col min="5" max="5" width="17.88671875" customWidth="1"/>
    <col min="6" max="6" width="14.77734375" customWidth="1"/>
    <col min="7" max="7" width="18.77734375" customWidth="1"/>
    <col min="9" max="9" width="17.6640625" customWidth="1"/>
    <col min="10" max="10" width="14.77734375" customWidth="1"/>
    <col min="11" max="11" width="18.77734375" customWidth="1"/>
    <col min="13" max="13" width="17.6640625" customWidth="1"/>
    <col min="14" max="14" width="14.77734375" customWidth="1"/>
    <col min="15" max="15" width="18.77734375" customWidth="1"/>
    <col min="17" max="17" width="16.77734375" customWidth="1"/>
    <col min="18" max="18" width="14.77734375" customWidth="1"/>
    <col min="19" max="19" width="18.77734375" customWidth="1"/>
    <col min="21" max="22" width="14.77734375" customWidth="1"/>
    <col min="23" max="23" width="18.77734375" customWidth="1"/>
    <col min="25" max="25" width="16.77734375" customWidth="1"/>
    <col min="26" max="26" width="18.77734375" customWidth="1"/>
    <col min="27" max="27" width="17.109375" customWidth="1"/>
  </cols>
  <sheetData>
    <row r="1" spans="1:11" ht="45" customHeight="1" x14ac:dyDescent="0.3">
      <c r="A1" s="17">
        <v>1309</v>
      </c>
      <c r="B1" s="77" t="s">
        <v>2</v>
      </c>
      <c r="C1" s="78"/>
      <c r="E1" s="17">
        <v>1310</v>
      </c>
      <c r="F1" s="77" t="s">
        <v>34</v>
      </c>
      <c r="G1" s="78"/>
      <c r="I1" s="17">
        <v>1311</v>
      </c>
      <c r="J1" s="77" t="s">
        <v>3</v>
      </c>
      <c r="K1" s="78"/>
    </row>
    <row r="2" spans="1:11" x14ac:dyDescent="0.3">
      <c r="A2" s="2" t="s">
        <v>12</v>
      </c>
      <c r="B2" s="2" t="s">
        <v>1</v>
      </c>
      <c r="C2" s="2" t="s">
        <v>29</v>
      </c>
      <c r="E2" s="2" t="s">
        <v>12</v>
      </c>
      <c r="F2" s="2" t="s">
        <v>1</v>
      </c>
      <c r="G2" s="2" t="s">
        <v>27</v>
      </c>
      <c r="I2" s="2" t="s">
        <v>12</v>
      </c>
      <c r="J2" s="2" t="s">
        <v>1</v>
      </c>
      <c r="K2" s="2" t="s">
        <v>27</v>
      </c>
    </row>
    <row r="3" spans="1:11" x14ac:dyDescent="0.3">
      <c r="A3" s="25" t="s">
        <v>4</v>
      </c>
      <c r="B3" s="13">
        <v>350</v>
      </c>
      <c r="C3" s="5">
        <f>(VLOOKUP('VALOR(RECEITA)'!A3,CONTROLE_ESTOQUE!$A$3:$K$19,6,0)/1000)*B3</f>
        <v>2.4359999999999999</v>
      </c>
      <c r="E3" s="25" t="s">
        <v>4</v>
      </c>
      <c r="F3" s="14">
        <v>350</v>
      </c>
      <c r="G3" s="6">
        <f>(VLOOKUP(E3,CONTROLE_ESTOQUE!$A$3:$K$19,6,0)/1000)*F3</f>
        <v>2.4359999999999999</v>
      </c>
      <c r="I3" s="25" t="s">
        <v>4</v>
      </c>
      <c r="J3" s="13">
        <v>350</v>
      </c>
      <c r="K3" s="5">
        <f>(VLOOKUP(I3,CONTROLE_ESTOQUE!$A$3:$K$19,6,0)/1000)*J3</f>
        <v>2.4359999999999999</v>
      </c>
    </row>
    <row r="4" spans="1:11" x14ac:dyDescent="0.3">
      <c r="A4" s="26" t="s">
        <v>5</v>
      </c>
      <c r="B4" s="11">
        <v>4</v>
      </c>
      <c r="C4" s="5">
        <f>(VLOOKUP('VALOR(RECEITA)'!A4,CONTROLE_ESTOQUE!$A$3:$K$19,6,0)/20)*B4</f>
        <v>2.5920000000000001</v>
      </c>
      <c r="E4" s="26" t="s">
        <v>5</v>
      </c>
      <c r="F4" s="12">
        <v>4</v>
      </c>
      <c r="G4" s="6">
        <f>(VLOOKUP(E4,CONTROLE_ESTOQUE!$A$3:$K$19,6,0)/20)*F4</f>
        <v>2.5920000000000001</v>
      </c>
      <c r="I4" s="26" t="s">
        <v>5</v>
      </c>
      <c r="J4" s="11">
        <v>4</v>
      </c>
      <c r="K4" s="5">
        <f>(VLOOKUP(I4,CONTROLE_ESTOQUE!$A$3:$K$19,6,0)/20)*J4</f>
        <v>2.5920000000000001</v>
      </c>
    </row>
    <row r="5" spans="1:11" x14ac:dyDescent="0.3">
      <c r="A5" s="25" t="s">
        <v>28</v>
      </c>
      <c r="B5" s="13">
        <v>100</v>
      </c>
      <c r="C5" s="5">
        <f>(VLOOKUP('VALOR(RECEITA)'!A5,CONTROLE_ESTOQUE!$A$3:$K$19,6,0)/1000)*B5</f>
        <v>1.696</v>
      </c>
      <c r="E5" s="25" t="s">
        <v>28</v>
      </c>
      <c r="F5" s="14">
        <v>100</v>
      </c>
      <c r="G5" s="6">
        <f>(VLOOKUP(E5,CONTROLE_ESTOQUE!$A$3:$K$19,6,0)/1000)*F5</f>
        <v>1.696</v>
      </c>
      <c r="I5" s="25" t="s">
        <v>28</v>
      </c>
      <c r="J5" s="13">
        <v>100</v>
      </c>
      <c r="K5" s="5">
        <f>(VLOOKUP(I5,CONTROLE_ESTOQUE!$A$3:$K$19,6,0)/1000)*J5</f>
        <v>1.696</v>
      </c>
    </row>
    <row r="6" spans="1:11" x14ac:dyDescent="0.3">
      <c r="A6" s="25" t="s">
        <v>2</v>
      </c>
      <c r="B6" s="13">
        <v>200</v>
      </c>
      <c r="C6" s="5">
        <f>(VLOOKUP('VALOR(RECEITA)'!A6,CONTROLE_ESTOQUE!$A$3:$K$19,6,0)/1000)*B6</f>
        <v>9.9919999999999991</v>
      </c>
      <c r="E6" s="25" t="s">
        <v>30</v>
      </c>
      <c r="F6" s="14">
        <v>350</v>
      </c>
      <c r="G6" s="6">
        <f>(VLOOKUP(E6,CONTROLE_ESTOQUE!$A$3:$K$19,6,0)/1000)*F6</f>
        <v>7.6859999999999999</v>
      </c>
      <c r="I6" s="25" t="s">
        <v>3</v>
      </c>
      <c r="J6" s="13">
        <v>350</v>
      </c>
      <c r="K6" s="5">
        <f>(VLOOKUP(I6,CONTROLE_ESTOQUE!$A$3:$K$19,6,0)/1000)*J6</f>
        <v>6.9860000000000007</v>
      </c>
    </row>
    <row r="7" spans="1:11" x14ac:dyDescent="0.3">
      <c r="A7" s="25" t="s">
        <v>6</v>
      </c>
      <c r="B7" s="13">
        <v>600</v>
      </c>
      <c r="C7" s="5">
        <f>(VLOOKUP('VALOR(RECEITA)'!A7,CONTROLE_ESTOQUE!$A$3:$K$19,6,0)/1000)*B7</f>
        <v>5.3760000000000003</v>
      </c>
      <c r="E7" s="25" t="s">
        <v>21</v>
      </c>
      <c r="F7" s="14">
        <v>250</v>
      </c>
      <c r="G7" s="6">
        <f>(VLOOKUP(E7,CONTROLE_ESTOQUE!$A$3:$K$19,6,0)/1000)*F7</f>
        <v>2.2400000000000002</v>
      </c>
      <c r="I7" s="25" t="s">
        <v>7</v>
      </c>
      <c r="J7" s="13">
        <v>120</v>
      </c>
      <c r="K7" s="5">
        <f>(VLOOKUP(I7,CONTROLE_ESTOQUE!$A$3:$K$19,6,0)/1000)*J7</f>
        <v>1.0752000000000002</v>
      </c>
    </row>
    <row r="8" spans="1:11" x14ac:dyDescent="0.3">
      <c r="A8" s="25" t="s">
        <v>11</v>
      </c>
      <c r="B8" s="13">
        <v>100</v>
      </c>
      <c r="C8" s="5">
        <f>(VLOOKUP('VALOR(RECEITA)'!A8,CONTROLE_ESTOQUE!$A$3:$K$19,6,0)/1000)*B8</f>
        <v>0.69799999999999995</v>
      </c>
      <c r="E8" s="25" t="s">
        <v>11</v>
      </c>
      <c r="F8" s="13">
        <v>100</v>
      </c>
      <c r="G8" s="6">
        <f>(VLOOKUP(E8,CONTROLE_ESTOQUE!$A$3:$K$19,6,0)/1000)*F8</f>
        <v>0.69799999999999995</v>
      </c>
      <c r="I8" s="25" t="s">
        <v>11</v>
      </c>
      <c r="J8" s="13">
        <v>100</v>
      </c>
      <c r="K8" s="5">
        <f>(VLOOKUP(I8,CONTROLE_ESTOQUE!$A$3:$K$19,6,0)/1000)*J8</f>
        <v>0.69799999999999995</v>
      </c>
    </row>
    <row r="9" spans="1:11" x14ac:dyDescent="0.3">
      <c r="A9" s="23"/>
      <c r="B9" s="16"/>
      <c r="C9" s="5" t="e">
        <f>(VLOOKUP('VALOR(RECEITA)'!A9,CONTROLE_ESTOQUE!$A$3:$K$19,5,0)/1000)*B9</f>
        <v>#N/A</v>
      </c>
      <c r="E9" s="25" t="s">
        <v>10</v>
      </c>
      <c r="F9" s="13">
        <v>100</v>
      </c>
      <c r="G9" s="6">
        <f>(VLOOKUP(E9,CONTROLE_ESTOQUE!$A$3:$K$19,6,0)/1000)*F9</f>
        <v>0.59599999999999997</v>
      </c>
      <c r="I9" s="23"/>
      <c r="J9" s="16"/>
      <c r="K9" s="5"/>
    </row>
    <row r="10" spans="1:11" x14ac:dyDescent="0.3">
      <c r="A10" s="75" t="s">
        <v>19</v>
      </c>
      <c r="B10" s="76"/>
      <c r="C10" s="4">
        <f>SUM(C3:C8)</f>
        <v>22.790000000000003</v>
      </c>
      <c r="E10" s="75" t="s">
        <v>19</v>
      </c>
      <c r="F10" s="76"/>
      <c r="G10" s="4">
        <f>SUM(G3:G7)</f>
        <v>16.649999999999999</v>
      </c>
      <c r="I10" s="75" t="s">
        <v>19</v>
      </c>
      <c r="J10" s="76"/>
      <c r="K10" s="4">
        <f>SUM(K3:K8)</f>
        <v>15.483200000000002</v>
      </c>
    </row>
    <row r="12" spans="1:11" ht="45" customHeight="1" x14ac:dyDescent="0.3">
      <c r="A12" s="17">
        <v>1312</v>
      </c>
      <c r="B12" s="77" t="s">
        <v>35</v>
      </c>
      <c r="C12" s="78"/>
      <c r="E12" s="17">
        <v>1313</v>
      </c>
      <c r="F12" s="77" t="s">
        <v>36</v>
      </c>
      <c r="G12" s="78"/>
      <c r="I12" s="17">
        <v>1314</v>
      </c>
      <c r="J12" s="77" t="s">
        <v>33</v>
      </c>
      <c r="K12" s="78"/>
    </row>
    <row r="13" spans="1:11" x14ac:dyDescent="0.3">
      <c r="A13" s="2" t="s">
        <v>12</v>
      </c>
      <c r="B13" s="2" t="s">
        <v>1</v>
      </c>
      <c r="C13" s="2" t="s">
        <v>27</v>
      </c>
      <c r="E13" s="2" t="s">
        <v>12</v>
      </c>
      <c r="F13" s="2" t="s">
        <v>1</v>
      </c>
      <c r="G13" s="2" t="s">
        <v>27</v>
      </c>
      <c r="I13" s="2" t="s">
        <v>12</v>
      </c>
      <c r="J13" s="2" t="s">
        <v>1</v>
      </c>
      <c r="K13" s="2" t="s">
        <v>27</v>
      </c>
    </row>
    <row r="14" spans="1:11" x14ac:dyDescent="0.3">
      <c r="A14" s="21" t="s">
        <v>4</v>
      </c>
      <c r="B14" s="13">
        <v>350</v>
      </c>
      <c r="C14" s="6">
        <f>(VLOOKUP(A14,CONTROLE_ESTOQUE!$A$3:$K$19,6,0)/1000)*'VALOR(RECEITA)'!B14</f>
        <v>2.4359999999999999</v>
      </c>
      <c r="E14" s="21" t="s">
        <v>4</v>
      </c>
      <c r="F14" s="13">
        <v>350</v>
      </c>
      <c r="G14" s="6">
        <f>(VLOOKUP(E14,CONTROLE_ESTOQUE!$A$3:$K$19,6,0)/1000)*F14</f>
        <v>2.4359999999999999</v>
      </c>
      <c r="I14" s="21" t="s">
        <v>4</v>
      </c>
      <c r="J14" s="13">
        <v>350</v>
      </c>
      <c r="K14" s="6">
        <f>(VLOOKUP(I14,CONTROLE_ESTOQUE!$A$3:$K$19,6,0)/1000)*J14</f>
        <v>2.4359999999999999</v>
      </c>
    </row>
    <row r="15" spans="1:11" x14ac:dyDescent="0.3">
      <c r="A15" s="22" t="s">
        <v>5</v>
      </c>
      <c r="B15" s="11">
        <v>4</v>
      </c>
      <c r="C15" s="6">
        <f>(VLOOKUP(A15,CONTROLE_ESTOQUE!$A$3:$K$19,6,0)/20)*'VALOR(RECEITA)'!B15</f>
        <v>2.5920000000000001</v>
      </c>
      <c r="E15" s="22" t="s">
        <v>5</v>
      </c>
      <c r="F15" s="11">
        <v>4</v>
      </c>
      <c r="G15" s="6">
        <f>(VLOOKUP(E15,CONTROLE_ESTOQUE!$A$3:$K$19,6,0)/20)*F15</f>
        <v>2.5920000000000001</v>
      </c>
      <c r="I15" s="22" t="s">
        <v>5</v>
      </c>
      <c r="J15" s="11">
        <v>4</v>
      </c>
      <c r="K15" s="6">
        <f>(VLOOKUP(I15,CONTROLE_ESTOQUE!$A$3:$K$19,6,0)/20)*J15</f>
        <v>2.5920000000000001</v>
      </c>
    </row>
    <row r="16" spans="1:11" ht="28.8" x14ac:dyDescent="0.3">
      <c r="A16" s="21" t="s">
        <v>28</v>
      </c>
      <c r="B16" s="13">
        <v>100</v>
      </c>
      <c r="C16" s="6">
        <f>(VLOOKUP(A16,CONTROLE_ESTOQUE!$A$3:$K$19,6,0)/1000)*'VALOR(RECEITA)'!B16</f>
        <v>1.696</v>
      </c>
      <c r="E16" s="24" t="s">
        <v>23</v>
      </c>
      <c r="F16" s="19">
        <v>200</v>
      </c>
      <c r="G16" s="6">
        <f>(VLOOKUP(E16,CONTROLE_ESTOQUE!$A$3:$K$19,6,0)/1000)*F16</f>
        <v>1.7920000000000003</v>
      </c>
      <c r="I16" s="24" t="s">
        <v>23</v>
      </c>
      <c r="J16" s="13">
        <v>200</v>
      </c>
      <c r="K16" s="6">
        <f>(VLOOKUP(I16,CONTROLE_ESTOQUE!$A$3:$K$19,6,0)/1000)*J16</f>
        <v>1.7920000000000003</v>
      </c>
    </row>
    <row r="17" spans="1:11" x14ac:dyDescent="0.3">
      <c r="A17" s="21" t="s">
        <v>3</v>
      </c>
      <c r="B17" s="13">
        <v>350</v>
      </c>
      <c r="C17" s="6">
        <f>(VLOOKUP(A17,CONTROLE_ESTOQUE!$A$3:$K$19,6,0)/1000)*'VALOR(RECEITA)'!B17</f>
        <v>6.9860000000000007</v>
      </c>
      <c r="E17" s="21" t="s">
        <v>22</v>
      </c>
      <c r="F17" s="13">
        <v>85</v>
      </c>
      <c r="G17" s="6">
        <f>(VLOOKUP(E17,CONTROLE_ESTOQUE!$A$3:$K$19,6,0)/1000)*F17</f>
        <v>0.76160000000000005</v>
      </c>
      <c r="I17" s="21" t="s">
        <v>24</v>
      </c>
      <c r="J17" s="13">
        <v>100</v>
      </c>
      <c r="K17" s="6">
        <f>(VLOOKUP(I17,CONTROLE_ESTOQUE!$A$3:$K$19,6,0)/1000)*J17</f>
        <v>0.89600000000000013</v>
      </c>
    </row>
    <row r="18" spans="1:11" x14ac:dyDescent="0.3">
      <c r="A18" s="21" t="s">
        <v>2</v>
      </c>
      <c r="B18" s="13">
        <v>250</v>
      </c>
      <c r="C18" s="6">
        <f>(VLOOKUP(A18,CONTROLE_ESTOQUE!$A$3:$K$19,6,0)/1000)*'VALOR(RECEITA)'!B18</f>
        <v>12.49</v>
      </c>
      <c r="E18" s="21"/>
      <c r="F18" s="13"/>
      <c r="G18" s="6"/>
      <c r="I18" s="21"/>
      <c r="J18" s="13"/>
      <c r="K18" s="6"/>
    </row>
    <row r="19" spans="1:11" x14ac:dyDescent="0.3">
      <c r="A19" s="21" t="s">
        <v>11</v>
      </c>
      <c r="B19" s="14">
        <v>100</v>
      </c>
      <c r="C19" s="6">
        <f>(VLOOKUP(A19,CONTROLE_ESTOQUE!$A$3:$K$19,6,0)/1000)*'VALOR(RECEITA)'!B19</f>
        <v>0.69799999999999995</v>
      </c>
      <c r="E19" s="21"/>
      <c r="F19" s="15"/>
      <c r="G19" s="6"/>
      <c r="I19" s="21"/>
      <c r="J19" s="15"/>
      <c r="K19" s="6"/>
    </row>
    <row r="20" spans="1:11" x14ac:dyDescent="0.3">
      <c r="A20" s="23"/>
      <c r="B20" s="16"/>
      <c r="C20" s="6"/>
      <c r="E20" s="21"/>
      <c r="F20" s="14"/>
      <c r="G20" s="6"/>
      <c r="I20" s="21"/>
      <c r="J20" s="14"/>
      <c r="K20" s="6"/>
    </row>
    <row r="21" spans="1:11" x14ac:dyDescent="0.3">
      <c r="A21" s="75" t="s">
        <v>19</v>
      </c>
      <c r="B21" s="76"/>
      <c r="C21" s="4">
        <f>SUM(C14:C19)</f>
        <v>26.898000000000003</v>
      </c>
      <c r="E21" s="75" t="s">
        <v>19</v>
      </c>
      <c r="F21" s="76"/>
      <c r="G21" s="4">
        <f>SUM(G14:G20)</f>
        <v>7.5815999999999999</v>
      </c>
      <c r="I21" s="75" t="s">
        <v>19</v>
      </c>
      <c r="J21" s="76"/>
      <c r="K21" s="4">
        <f>SUM(K14:K17)</f>
        <v>7.7160000000000002</v>
      </c>
    </row>
    <row r="23" spans="1:11" ht="45" customHeight="1" x14ac:dyDescent="0.3">
      <c r="A23" s="17">
        <v>1315</v>
      </c>
      <c r="B23" s="77" t="s">
        <v>37</v>
      </c>
      <c r="C23" s="78"/>
    </row>
    <row r="24" spans="1:11" x14ac:dyDescent="0.3">
      <c r="A24" s="2"/>
      <c r="B24" s="2"/>
      <c r="C24" s="2"/>
    </row>
    <row r="25" spans="1:11" x14ac:dyDescent="0.3">
      <c r="A25" s="21" t="s">
        <v>4</v>
      </c>
      <c r="B25" s="13">
        <v>350</v>
      </c>
      <c r="C25" s="6">
        <f>(VLOOKUP(A25,CONTROLE_ESTOQUE!$A$3:$K$19,6,0)/1000)*B25</f>
        <v>2.4359999999999999</v>
      </c>
    </row>
    <row r="26" spans="1:11" x14ac:dyDescent="0.3">
      <c r="A26" s="22" t="s">
        <v>5</v>
      </c>
      <c r="B26" s="11">
        <v>4</v>
      </c>
      <c r="C26" s="6">
        <f>(VLOOKUP(A26,CONTROLE_ESTOQUE!$A$3:$K$19,6,0)/20)*B26</f>
        <v>2.5920000000000001</v>
      </c>
    </row>
    <row r="27" spans="1:11" x14ac:dyDescent="0.3">
      <c r="A27" s="21" t="s">
        <v>26</v>
      </c>
      <c r="B27" s="13">
        <v>200</v>
      </c>
      <c r="C27" s="6">
        <f>(VLOOKUP(A27,CONTROLE_ESTOQUE!$A$3:$K$19,6,0)/1000)*B27</f>
        <v>2.5920000000000001</v>
      </c>
    </row>
    <row r="28" spans="1:11" x14ac:dyDescent="0.3">
      <c r="A28" s="21" t="s">
        <v>25</v>
      </c>
      <c r="B28" s="13">
        <v>150</v>
      </c>
      <c r="C28" s="6">
        <f>(VLOOKUP(A28,CONTROLE_ESTOQUE!$A$3:$K$19,6,0)/1000)*B28</f>
        <v>1.9440000000000002</v>
      </c>
    </row>
    <row r="29" spans="1:11" x14ac:dyDescent="0.3">
      <c r="A29" s="21"/>
      <c r="B29" s="13"/>
      <c r="C29" s="6"/>
    </row>
    <row r="30" spans="1:11" x14ac:dyDescent="0.3">
      <c r="A30" s="21"/>
      <c r="B30" s="15"/>
      <c r="C30" s="6"/>
    </row>
    <row r="31" spans="1:11" x14ac:dyDescent="0.3">
      <c r="A31" s="23"/>
      <c r="B31" s="14"/>
      <c r="C31" s="6"/>
    </row>
    <row r="32" spans="1:11" x14ac:dyDescent="0.3">
      <c r="A32" s="75" t="s">
        <v>19</v>
      </c>
      <c r="B32" s="76"/>
      <c r="C32" s="4">
        <f>SUM(C25:C28)</f>
        <v>9.5640000000000018</v>
      </c>
    </row>
    <row r="34" ht="45" customHeight="1" x14ac:dyDescent="0.3"/>
    <row r="45" ht="45" customHeight="1" x14ac:dyDescent="0.3"/>
    <row r="56" ht="45" customHeight="1" x14ac:dyDescent="0.3"/>
    <row r="62" ht="18" customHeight="1" x14ac:dyDescent="0.3"/>
    <row r="67" ht="45" customHeight="1" x14ac:dyDescent="0.3"/>
  </sheetData>
  <mergeCells count="14">
    <mergeCell ref="A32:B32"/>
    <mergeCell ref="B1:C1"/>
    <mergeCell ref="A10:B10"/>
    <mergeCell ref="E10:F10"/>
    <mergeCell ref="I10:J10"/>
    <mergeCell ref="A21:B21"/>
    <mergeCell ref="I21:J21"/>
    <mergeCell ref="E21:F21"/>
    <mergeCell ref="B12:C12"/>
    <mergeCell ref="F1:G1"/>
    <mergeCell ref="F12:G12"/>
    <mergeCell ref="J1:K1"/>
    <mergeCell ref="B23:C23"/>
    <mergeCell ref="J12:K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1A12-F6AD-4B4F-93D6-176441329656}">
  <sheetPr>
    <tabColor theme="7"/>
  </sheetPr>
  <dimension ref="A1:I17"/>
  <sheetViews>
    <sheetView showGridLines="0" workbookViewId="0">
      <selection activeCell="C2" sqref="C2"/>
    </sheetView>
  </sheetViews>
  <sheetFormatPr defaultRowHeight="14.4" x14ac:dyDescent="0.3"/>
  <cols>
    <col min="1" max="1" width="25.44140625" customWidth="1"/>
    <col min="2" max="2" width="20.21875" customWidth="1"/>
    <col min="3" max="3" width="14.109375" customWidth="1"/>
    <col min="4" max="4" width="16.44140625" customWidth="1"/>
    <col min="5" max="5" width="15.109375" customWidth="1"/>
    <col min="6" max="6" width="15.21875" customWidth="1"/>
    <col min="7" max="7" width="17.109375" customWidth="1"/>
    <col min="8" max="8" width="19.21875" customWidth="1"/>
    <col min="9" max="9" width="17.6640625" customWidth="1"/>
    <col min="10" max="10" width="15.21875" customWidth="1"/>
  </cols>
  <sheetData>
    <row r="1" spans="1:9" ht="63" customHeight="1" x14ac:dyDescent="0.3">
      <c r="A1" s="79" t="s">
        <v>68</v>
      </c>
      <c r="B1" s="79" t="s">
        <v>67</v>
      </c>
      <c r="C1" s="37" t="s">
        <v>71</v>
      </c>
      <c r="D1" s="37" t="s">
        <v>72</v>
      </c>
      <c r="E1" s="37" t="s">
        <v>77</v>
      </c>
      <c r="F1" s="37" t="s">
        <v>78</v>
      </c>
      <c r="G1" s="37" t="s">
        <v>73</v>
      </c>
      <c r="H1" s="37" t="s">
        <v>74</v>
      </c>
      <c r="I1" s="37" t="s">
        <v>47</v>
      </c>
    </row>
    <row r="2" spans="1:9" ht="18" customHeight="1" x14ac:dyDescent="0.3">
      <c r="A2" s="48" t="s">
        <v>2</v>
      </c>
      <c r="B2" s="1" t="s">
        <v>17</v>
      </c>
      <c r="C2" s="56">
        <v>0.2</v>
      </c>
      <c r="D2" s="54"/>
      <c r="E2" s="55"/>
      <c r="F2" s="56">
        <v>0.2</v>
      </c>
      <c r="G2" s="55"/>
      <c r="H2" s="55"/>
      <c r="I2" s="55"/>
    </row>
    <row r="3" spans="1:9" ht="19.2" customHeight="1" x14ac:dyDescent="0.3">
      <c r="A3" s="48" t="s">
        <v>3</v>
      </c>
      <c r="B3" s="1" t="s">
        <v>17</v>
      </c>
      <c r="C3" s="53"/>
      <c r="D3" s="53"/>
      <c r="E3" s="57">
        <v>0.4</v>
      </c>
      <c r="F3" s="57">
        <v>0.4</v>
      </c>
      <c r="G3" s="53"/>
      <c r="H3" s="53"/>
      <c r="I3" s="53"/>
    </row>
    <row r="4" spans="1:9" ht="15" customHeight="1" x14ac:dyDescent="0.3">
      <c r="A4" s="48" t="s">
        <v>4</v>
      </c>
      <c r="B4" s="1" t="s">
        <v>49</v>
      </c>
      <c r="C4" s="57">
        <v>0.35</v>
      </c>
      <c r="D4" s="57">
        <v>0.35</v>
      </c>
      <c r="E4" s="57">
        <v>0.35</v>
      </c>
      <c r="F4" s="57">
        <v>0.35</v>
      </c>
      <c r="G4" s="57">
        <v>0.35</v>
      </c>
      <c r="H4" s="57">
        <v>0.35</v>
      </c>
      <c r="I4" s="57">
        <v>0.35</v>
      </c>
    </row>
    <row r="5" spans="1:9" x14ac:dyDescent="0.3">
      <c r="A5" s="48" t="s">
        <v>5</v>
      </c>
      <c r="B5" s="1" t="s">
        <v>75</v>
      </c>
      <c r="C5" s="58">
        <v>4</v>
      </c>
      <c r="D5" s="58">
        <v>4</v>
      </c>
      <c r="E5" s="58">
        <v>4</v>
      </c>
      <c r="F5" s="58">
        <v>4</v>
      </c>
      <c r="G5" s="58">
        <v>4</v>
      </c>
      <c r="H5" s="58">
        <v>4</v>
      </c>
      <c r="I5" s="58">
        <v>4</v>
      </c>
    </row>
    <row r="6" spans="1:9" x14ac:dyDescent="0.3">
      <c r="A6" s="48" t="s">
        <v>30</v>
      </c>
      <c r="B6" s="1" t="s">
        <v>17</v>
      </c>
      <c r="C6" s="53"/>
      <c r="D6" s="57">
        <v>0.25</v>
      </c>
      <c r="E6" s="53"/>
      <c r="F6" s="53"/>
      <c r="G6" s="53"/>
      <c r="H6" s="53"/>
      <c r="I6" s="53"/>
    </row>
    <row r="7" spans="1:9" x14ac:dyDescent="0.3">
      <c r="A7" s="48" t="s">
        <v>6</v>
      </c>
      <c r="B7" s="1" t="s">
        <v>17</v>
      </c>
      <c r="C7" s="53"/>
      <c r="D7" s="53"/>
      <c r="E7" s="53"/>
      <c r="F7" s="53"/>
      <c r="G7" s="53"/>
      <c r="H7" s="53"/>
      <c r="I7" s="53"/>
    </row>
    <row r="8" spans="1:9" x14ac:dyDescent="0.3">
      <c r="A8" s="48" t="s">
        <v>7</v>
      </c>
      <c r="B8" s="1" t="s">
        <v>17</v>
      </c>
      <c r="C8" s="52"/>
      <c r="D8" s="52"/>
      <c r="E8" s="57">
        <v>0.15</v>
      </c>
      <c r="F8" s="52"/>
      <c r="G8" s="52"/>
      <c r="H8" s="52"/>
      <c r="I8" s="52"/>
    </row>
    <row r="9" spans="1:9" x14ac:dyDescent="0.3">
      <c r="A9" s="48" t="s">
        <v>10</v>
      </c>
      <c r="B9" s="1" t="s">
        <v>17</v>
      </c>
      <c r="C9" s="52"/>
      <c r="D9" s="57">
        <v>0.1</v>
      </c>
      <c r="E9" s="52"/>
      <c r="F9" s="52"/>
      <c r="G9" s="52"/>
      <c r="H9" s="52"/>
      <c r="I9" s="52"/>
    </row>
    <row r="10" spans="1:9" ht="18.600000000000001" customHeight="1" x14ac:dyDescent="0.3">
      <c r="A10" s="48" t="s">
        <v>11</v>
      </c>
      <c r="B10" s="1" t="s">
        <v>17</v>
      </c>
      <c r="C10" s="57">
        <v>0.1</v>
      </c>
      <c r="D10" s="57">
        <v>0.1</v>
      </c>
      <c r="E10" s="57">
        <v>0.1</v>
      </c>
      <c r="F10" s="57">
        <v>0.1</v>
      </c>
      <c r="G10" s="52"/>
      <c r="H10" s="52"/>
      <c r="I10" s="52"/>
    </row>
    <row r="11" spans="1:9" x14ac:dyDescent="0.3">
      <c r="A11" s="48" t="s">
        <v>28</v>
      </c>
      <c r="B11" s="1" t="s">
        <v>49</v>
      </c>
      <c r="C11" s="57">
        <v>0.1</v>
      </c>
      <c r="D11" s="57">
        <v>0.1</v>
      </c>
      <c r="E11" s="57">
        <v>0.1</v>
      </c>
      <c r="F11" s="57">
        <v>0.1</v>
      </c>
      <c r="G11" s="52"/>
      <c r="H11" s="52"/>
      <c r="I11" s="52"/>
    </row>
    <row r="12" spans="1:9" x14ac:dyDescent="0.3">
      <c r="A12" s="48" t="s">
        <v>21</v>
      </c>
      <c r="B12" s="1" t="s">
        <v>18</v>
      </c>
      <c r="C12" s="52"/>
      <c r="D12" s="57">
        <v>0.15</v>
      </c>
      <c r="E12" s="52"/>
      <c r="F12" s="52"/>
      <c r="G12" s="52"/>
      <c r="H12" s="52"/>
      <c r="I12" s="52"/>
    </row>
    <row r="13" spans="1:9" x14ac:dyDescent="0.3">
      <c r="A13" s="49" t="s">
        <v>22</v>
      </c>
      <c r="B13" s="1" t="s">
        <v>76</v>
      </c>
      <c r="C13" s="52"/>
      <c r="D13" s="52"/>
      <c r="E13" s="52"/>
      <c r="F13" s="52"/>
      <c r="G13" s="57">
        <v>8.5000000000000006E-2</v>
      </c>
      <c r="H13" s="52"/>
      <c r="I13" s="52"/>
    </row>
    <row r="14" spans="1:9" x14ac:dyDescent="0.3">
      <c r="A14" s="49" t="s">
        <v>23</v>
      </c>
      <c r="B14" s="1" t="s">
        <v>18</v>
      </c>
      <c r="C14" s="52"/>
      <c r="D14" s="52"/>
      <c r="E14" s="52"/>
      <c r="F14" s="52"/>
      <c r="G14" s="57">
        <v>0.2</v>
      </c>
      <c r="H14" s="57">
        <v>0.2</v>
      </c>
      <c r="I14" s="52"/>
    </row>
    <row r="15" spans="1:9" x14ac:dyDescent="0.3">
      <c r="A15" s="49" t="s">
        <v>24</v>
      </c>
      <c r="B15" s="1" t="s">
        <v>49</v>
      </c>
      <c r="C15" s="52"/>
      <c r="D15" s="52"/>
      <c r="E15" s="52"/>
      <c r="F15" s="52"/>
      <c r="G15" s="52"/>
      <c r="H15" s="57">
        <v>9.5000000000000001E-2</v>
      </c>
      <c r="I15" s="52"/>
    </row>
    <row r="16" spans="1:9" x14ac:dyDescent="0.3">
      <c r="A16" s="49" t="s">
        <v>25</v>
      </c>
      <c r="B16" s="1" t="s">
        <v>17</v>
      </c>
      <c r="C16" s="52"/>
      <c r="D16" s="52"/>
      <c r="E16" s="52"/>
      <c r="F16" s="52"/>
      <c r="G16" s="52"/>
      <c r="H16" s="52"/>
      <c r="I16" s="57">
        <v>0.15</v>
      </c>
    </row>
    <row r="17" spans="1:9" x14ac:dyDescent="0.3">
      <c r="A17" s="49" t="s">
        <v>26</v>
      </c>
      <c r="B17" s="1" t="s">
        <v>18</v>
      </c>
      <c r="C17" s="52"/>
      <c r="D17" s="52"/>
      <c r="E17" s="52"/>
      <c r="F17" s="52"/>
      <c r="G17" s="52"/>
      <c r="H17" s="52"/>
      <c r="I17" s="57">
        <v>0.2</v>
      </c>
    </row>
  </sheetData>
  <mergeCells count="1">
    <mergeCell ref="A1:B1"/>
  </mergeCells>
  <conditionalFormatting sqref="C2:I17">
    <cfRule type="containsText" dxfId="0" priority="1" operator="containsText" text="aeiou">
      <formula>NOT(ISERROR(SEARCH("aeiou",C2)))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6264-5989-4414-9B3A-187B46F6F935}">
  <sheetPr>
    <tabColor theme="9" tint="-0.249977111117893"/>
  </sheetPr>
  <dimension ref="A1:K16"/>
  <sheetViews>
    <sheetView showGridLines="0" workbookViewId="0">
      <selection activeCell="E4" sqref="E4"/>
    </sheetView>
  </sheetViews>
  <sheetFormatPr defaultRowHeight="14.4" x14ac:dyDescent="0.3"/>
  <cols>
    <col min="1" max="1" width="30.77734375" customWidth="1"/>
    <col min="2" max="2" width="32.88671875" customWidth="1"/>
    <col min="3" max="3" width="14.109375" customWidth="1"/>
    <col min="4" max="4" width="13.77734375" customWidth="1"/>
    <col min="5" max="5" width="9.77734375" customWidth="1"/>
    <col min="6" max="6" width="13.109375" customWidth="1"/>
    <col min="8" max="8" width="24.109375" customWidth="1"/>
    <col min="9" max="9" width="21.33203125" customWidth="1"/>
    <col min="10" max="10" width="14.33203125" customWidth="1"/>
    <col min="11" max="11" width="13.33203125" customWidth="1"/>
  </cols>
  <sheetData>
    <row r="1" spans="1:11" ht="40.200000000000003" customHeight="1" x14ac:dyDescent="0.3">
      <c r="A1" s="37" t="s">
        <v>38</v>
      </c>
      <c r="B1" s="79" t="s">
        <v>64</v>
      </c>
      <c r="C1" s="79"/>
      <c r="D1" s="79"/>
      <c r="E1" s="79"/>
      <c r="F1" s="79"/>
      <c r="H1" s="37" t="s">
        <v>70</v>
      </c>
      <c r="I1" s="80" t="s">
        <v>64</v>
      </c>
      <c r="J1" s="77"/>
      <c r="K1" s="78"/>
    </row>
    <row r="2" spans="1:11" ht="28.8" x14ac:dyDescent="0.3">
      <c r="A2" s="2" t="s">
        <v>40</v>
      </c>
      <c r="B2" s="2" t="s">
        <v>48</v>
      </c>
      <c r="C2" s="2" t="s">
        <v>29</v>
      </c>
      <c r="D2" s="38" t="s">
        <v>51</v>
      </c>
      <c r="E2" s="2" t="s">
        <v>64</v>
      </c>
      <c r="F2" s="2" t="s">
        <v>19</v>
      </c>
      <c r="H2" s="2" t="s">
        <v>40</v>
      </c>
      <c r="I2" s="2" t="s">
        <v>29</v>
      </c>
      <c r="J2" s="2" t="s">
        <v>69</v>
      </c>
      <c r="K2" s="38" t="s">
        <v>19</v>
      </c>
    </row>
    <row r="3" spans="1:11" x14ac:dyDescent="0.3">
      <c r="A3" s="16" t="s">
        <v>41</v>
      </c>
      <c r="B3" s="39">
        <v>1309</v>
      </c>
      <c r="C3" s="40">
        <f>'VALOR(RECEITA)'!C10</f>
        <v>22.790000000000003</v>
      </c>
      <c r="D3" s="41">
        <f t="shared" ref="D3:D9" si="0">(C3*$D$12)+C3</f>
        <v>54.696000000000005</v>
      </c>
      <c r="E3" s="16">
        <f>COUNTIF(PEDIDOS!C:H, "PIZZA DE MUÇARELA")</f>
        <v>3</v>
      </c>
      <c r="F3" s="6">
        <f>D3*E3</f>
        <v>164.08800000000002</v>
      </c>
      <c r="H3" s="46" t="s">
        <v>13</v>
      </c>
      <c r="I3" s="47">
        <f>VLOOKUP(H3,CONTROLE_ESTOQUE!A3:I23,6,0)</f>
        <v>8.9600000000000009</v>
      </c>
      <c r="J3" s="46">
        <f>COUNTIF(PEDIDOS!C:H,"COCA-COLA")</f>
        <v>3</v>
      </c>
      <c r="K3" s="41">
        <f>(I3*J3)</f>
        <v>26.880000000000003</v>
      </c>
    </row>
    <row r="4" spans="1:11" x14ac:dyDescent="0.3">
      <c r="A4" s="16" t="s">
        <v>42</v>
      </c>
      <c r="B4" s="39">
        <v>1310</v>
      </c>
      <c r="C4" s="6">
        <f>'VALOR(RECEITA)'!G10</f>
        <v>16.649999999999999</v>
      </c>
      <c r="D4" s="41">
        <f t="shared" si="0"/>
        <v>39.959999999999994</v>
      </c>
      <c r="E4" s="16">
        <f>COUNTIF(PEDIDOS!C:H, "PIZZA DE FRANGO CATUPIRY")</f>
        <v>4</v>
      </c>
      <c r="F4" s="6">
        <f t="shared" ref="F4:F9" si="1">D4*E4</f>
        <v>159.83999999999997</v>
      </c>
      <c r="H4" s="46" t="s">
        <v>14</v>
      </c>
      <c r="I4" s="47">
        <f>VLOOKUP(H4,CONTROLE_ESTOQUE!A4:I24,6,0)</f>
        <v>7.96</v>
      </c>
      <c r="J4" s="46">
        <f>COUNTIF(PEDIDOS!C:H,"FANTA LARANJA")</f>
        <v>5</v>
      </c>
      <c r="K4" s="41">
        <f t="shared" ref="K4:K6" si="2">(I4*J4)</f>
        <v>39.799999999999997</v>
      </c>
    </row>
    <row r="5" spans="1:11" x14ac:dyDescent="0.3">
      <c r="A5" s="16" t="s">
        <v>43</v>
      </c>
      <c r="B5" s="39">
        <v>1311</v>
      </c>
      <c r="C5" s="6">
        <f>'VALOR(RECEITA)'!K10</f>
        <v>15.483200000000002</v>
      </c>
      <c r="D5" s="41">
        <f t="shared" si="0"/>
        <v>37.159680000000002</v>
      </c>
      <c r="E5" s="16">
        <f>COUNTIF(PEDIDOS!C:H, "PIZZA DE CALABRESA")</f>
        <v>5</v>
      </c>
      <c r="F5" s="6">
        <f t="shared" si="1"/>
        <v>185.79840000000002</v>
      </c>
      <c r="H5" s="46" t="s">
        <v>15</v>
      </c>
      <c r="I5" s="47">
        <f>VLOOKUP(H5,CONTROLE_ESTOQUE!A5:I25,6,0)</f>
        <v>7.96</v>
      </c>
      <c r="J5" s="46">
        <f>COUNTIF(PEDIDOS!C:H,"FANTA UVA")</f>
        <v>3</v>
      </c>
      <c r="K5" s="41">
        <f t="shared" si="2"/>
        <v>23.88</v>
      </c>
    </row>
    <row r="6" spans="1:11" x14ac:dyDescent="0.3">
      <c r="A6" s="16" t="s">
        <v>44</v>
      </c>
      <c r="B6" s="39">
        <v>1312</v>
      </c>
      <c r="C6" s="6">
        <f>'VALOR(RECEITA)'!C21</f>
        <v>26.898000000000003</v>
      </c>
      <c r="D6" s="41">
        <f t="shared" si="0"/>
        <v>64.555200000000013</v>
      </c>
      <c r="E6" s="16">
        <f>COUNTIF(PEDIDOS!C:H, "PIZZA DE CALAMUÇA")</f>
        <v>3</v>
      </c>
      <c r="F6" s="6">
        <f t="shared" si="1"/>
        <v>193.66560000000004</v>
      </c>
      <c r="H6" s="46" t="s">
        <v>16</v>
      </c>
      <c r="I6" s="47">
        <f>VLOOKUP(H6,CONTROLE_ESTOQUE!A6:I26,6,0)</f>
        <v>8.9600000000000009</v>
      </c>
      <c r="J6" s="46">
        <f>COUNTIF(PEDIDOS!C:H,"GUARANA")</f>
        <v>2</v>
      </c>
      <c r="K6" s="41">
        <f t="shared" si="2"/>
        <v>17.920000000000002</v>
      </c>
    </row>
    <row r="7" spans="1:11" x14ac:dyDescent="0.3">
      <c r="A7" s="16" t="s">
        <v>45</v>
      </c>
      <c r="B7" s="39">
        <v>1313</v>
      </c>
      <c r="C7" s="6">
        <f>'VALOR(RECEITA)'!G21</f>
        <v>7.5815999999999999</v>
      </c>
      <c r="D7" s="41">
        <f t="shared" si="0"/>
        <v>18.195839999999997</v>
      </c>
      <c r="E7" s="16">
        <f>COUNTIF(PEDIDOS!C:H, "PIZZA DE CHOC CONFETE")</f>
        <v>2</v>
      </c>
      <c r="F7" s="6">
        <f t="shared" si="1"/>
        <v>36.391679999999994</v>
      </c>
      <c r="J7" s="42" t="s">
        <v>65</v>
      </c>
      <c r="K7" s="42" t="s">
        <v>65</v>
      </c>
    </row>
    <row r="8" spans="1:11" x14ac:dyDescent="0.3">
      <c r="A8" s="16" t="s">
        <v>46</v>
      </c>
      <c r="B8" s="39">
        <v>1314</v>
      </c>
      <c r="C8" s="6">
        <f>'VALOR(RECEITA)'!K21</f>
        <v>7.7160000000000002</v>
      </c>
      <c r="D8" s="41">
        <f t="shared" si="0"/>
        <v>18.5184</v>
      </c>
      <c r="E8" s="16">
        <f>COUNTIF(PEDIDOS!C:H, "PIZZA DE CHOC COM GRANULADO")</f>
        <v>1</v>
      </c>
      <c r="F8" s="6">
        <f t="shared" si="1"/>
        <v>18.5184</v>
      </c>
      <c r="J8" s="23">
        <f>SUM(J3:J6)</f>
        <v>13</v>
      </c>
      <c r="K8" s="43">
        <f>SUM(K3:K6)</f>
        <v>108.48</v>
      </c>
    </row>
    <row r="9" spans="1:11" ht="15" thickBot="1" x14ac:dyDescent="0.35">
      <c r="A9" s="16" t="s">
        <v>47</v>
      </c>
      <c r="B9" s="39">
        <v>1316</v>
      </c>
      <c r="C9" s="6">
        <f>'VALOR(RECEITA)'!C32</f>
        <v>9.5640000000000018</v>
      </c>
      <c r="D9" s="41">
        <f t="shared" si="0"/>
        <v>22.953600000000002</v>
      </c>
      <c r="E9" s="16">
        <f>COUNTIF(PEDIDOS!C:H, "PIZZA DE MUÇARELA")</f>
        <v>3</v>
      </c>
      <c r="F9" s="6">
        <f t="shared" si="1"/>
        <v>68.860800000000012</v>
      </c>
    </row>
    <row r="10" spans="1:11" x14ac:dyDescent="0.3">
      <c r="C10" s="67" t="s">
        <v>82</v>
      </c>
      <c r="D10" s="44">
        <v>1.2</v>
      </c>
      <c r="E10" s="42" t="s">
        <v>65</v>
      </c>
      <c r="F10" s="42" t="s">
        <v>65</v>
      </c>
    </row>
    <row r="11" spans="1:11" ht="16.2" thickBot="1" x14ac:dyDescent="0.35">
      <c r="C11" s="18" t="s">
        <v>31</v>
      </c>
      <c r="D11" s="45">
        <v>0.2</v>
      </c>
      <c r="E11" s="23">
        <f>SUM(E3:E9)</f>
        <v>21</v>
      </c>
      <c r="F11" s="43">
        <f>SUM(F3:F9)</f>
        <v>827.16288000000009</v>
      </c>
    </row>
    <row r="12" spans="1:11" ht="16.2" thickBot="1" x14ac:dyDescent="0.35">
      <c r="C12" s="18" t="s">
        <v>19</v>
      </c>
      <c r="D12" s="45">
        <f>SUM(D10:D11)</f>
        <v>1.4</v>
      </c>
    </row>
    <row r="16" spans="1:11" ht="37.200000000000003" customHeight="1" x14ac:dyDescent="0.3"/>
  </sheetData>
  <mergeCells count="2">
    <mergeCell ref="I1:K1"/>
    <mergeCell ref="B1:F1"/>
  </mergeCells>
  <phoneticPr fontId="1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PEDIDOS</vt:lpstr>
      <vt:lpstr>CONTROLE_ESTOQUE</vt:lpstr>
      <vt:lpstr>VALOR(RECEITA)</vt:lpstr>
      <vt:lpstr>PIZZAS</vt:lpstr>
      <vt:lpstr>CONTROLE_VENDAS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Laboratórios - W10 - Fatec Mauá</dc:creator>
  <cp:lastModifiedBy>GIOVANNA KAROLINA NERES DA COSTA</cp:lastModifiedBy>
  <dcterms:created xsi:type="dcterms:W3CDTF">2026-04-06T21:10:49Z</dcterms:created>
  <dcterms:modified xsi:type="dcterms:W3CDTF">2026-05-05T18:46:25Z</dcterms:modified>
</cp:coreProperties>
</file>